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260217追加購入品" sheetId="2" r:id="rId6"/>
    <sheet state="visible" name="シート3" sheetId="3" r:id="rId7"/>
  </sheets>
  <definedNames/>
  <calcPr/>
</workbook>
</file>

<file path=xl/sharedStrings.xml><?xml version="1.0" encoding="utf-8"?>
<sst xmlns="http://schemas.openxmlformats.org/spreadsheetml/2006/main" count="461" uniqueCount="178">
  <si>
    <t>納品</t>
  </si>
  <si>
    <t>#</t>
  </si>
  <si>
    <t>種類</t>
  </si>
  <si>
    <t>メーカー</t>
  </si>
  <si>
    <t>型番</t>
  </si>
  <si>
    <t>単価</t>
  </si>
  <si>
    <t>数量</t>
  </si>
  <si>
    <t>金額</t>
  </si>
  <si>
    <t>Internet link/ store</t>
  </si>
  <si>
    <t>Shipment time</t>
  </si>
  <si>
    <t>Volt</t>
  </si>
  <si>
    <t>Max Torque</t>
  </si>
  <si>
    <t>weight</t>
  </si>
  <si>
    <t>speed</t>
  </si>
  <si>
    <t>warranty status</t>
  </si>
  <si>
    <t>memo</t>
  </si>
  <si>
    <t>〇</t>
  </si>
  <si>
    <t>モーター</t>
  </si>
  <si>
    <t>三菱電機</t>
  </si>
  <si>
    <t>HG-KR13BD</t>
  </si>
  <si>
    <t>https://www.monotaro.com/g/00957661/?t.q=HG-KR%E3%82%B7%E3%83%AA%E3%83%BC%E3%82%BA%28%E4%BD%8E%E6%85%A3%E6%80%A7%E3%83%BB%E5%B0%8F%E5%AE%B9%E9%87%8F%29%20%E3%82%B5%E3%83%BC%E3%83%9C%E3%83%A2%E3%83%BC%E3%82%BF%20%E9%9B%BB%E7%A3%81%E3%83%96%E3%83%AC%E3%83%BC%E3%82%AD%E4%BB%98</t>
  </si>
  <si>
    <t>当日出荷</t>
  </si>
  <si>
    <t>200V</t>
  </si>
  <si>
    <t>1.1Nm（0.32）</t>
  </si>
  <si>
    <t>0.54kg</t>
  </si>
  <si>
    <t>3000rpm</t>
  </si>
  <si>
    <t>定格出力0.1kW、電磁ブレーキ付</t>
  </si>
  <si>
    <t>HG-KR43B</t>
  </si>
  <si>
    <t>4.5Nm（1.3）</t>
  </si>
  <si>
    <t>1.4kg</t>
  </si>
  <si>
    <t>定格出力0.4kW、電磁ブレーキ付</t>
  </si>
  <si>
    <t>HG-KR73B</t>
  </si>
  <si>
    <t>8.4Nm（定格トルク2.4Nm）</t>
  </si>
  <si>
    <t>2.8kg</t>
  </si>
  <si>
    <t>定格出力0.75kW、電磁ブレーキ付</t>
  </si>
  <si>
    <t>サーボアンプ</t>
  </si>
  <si>
    <t>MR-J4-70B</t>
  </si>
  <si>
    <t>https://www.monotaro.com/p/8717/0115/?srsltid=AfmBOoq1XnzGy4qci4BcPj1zmpTaBPmcDEMPa3S963-XpHzy1LZaawP4</t>
  </si>
  <si>
    <t>5/21以降出荷</t>
  </si>
  <si>
    <t>-</t>
  </si>
  <si>
    <t>MR-J4-40B1</t>
  </si>
  <si>
    <t>https://jp.misumi-ec.com/vona2/detail/221005851857/</t>
  </si>
  <si>
    <t>MR-J4W2-77B</t>
  </si>
  <si>
    <t>https://jp.misumi-ec.com/vona2/detail/221005851857/?HissuCode=MR-J4W2-77B&amp;PNSearch=MR-J4W2-77B&amp;KWSearch=MR-J4W2-77B&amp;searchFlow=results2products&amp;list=PageSearchResult</t>
  </si>
  <si>
    <t>3軸制御可能（HG-KR13を3つ制御想定）</t>
  </si>
  <si>
    <t>コントローラー</t>
  </si>
  <si>
    <t>FX5-80SSC-S</t>
  </si>
  <si>
    <t>https://jp.misumi-ec.com/vona2/detail/222005981627/?PNSearch=FX5-80SSC-S&amp;HissuCode=FX5-80SSC-S&amp;Keyword=FX5-80SSC-S&amp;list=SuggestPreview&amp;searchFlow=suggest2products</t>
  </si>
  <si>
    <t>1日出荷</t>
  </si>
  <si>
    <t>24V</t>
  </si>
  <si>
    <t>ケーブル類</t>
  </si>
  <si>
    <t>MR-PWS1CBL10M-A2-L</t>
  </si>
  <si>
    <t>https://www.mitsubishielectric.co.jp/fa/products/faspec/point.page?kisyu=/servo&amp;formNm=PWS1CBLA2_MR-PWS1CBL10M-A2-L_5475&amp;category=ex&amp;id=spec</t>
  </si>
  <si>
    <t>サーボモーターとアンプをつなぐ電源ケーブル。10m</t>
  </si>
  <si>
    <t>MR-J3ENCBL10M-A2-L</t>
  </si>
  <si>
    <t>https://www.mitsubishielectric.co.jp/fa/products/faspec/point.page?kisyu=/servo&amp;formNm=J3ENCBLA2_MR-J3ENCBL10M-A2-L_5447&amp;category=ex&amp;id=spec</t>
  </si>
  <si>
    <t>サーボモーターとアンプをつなぐ通信ケーブル。10m</t>
  </si>
  <si>
    <t xml:space="preserve">MR-BKS1CBL10M-A2-L </t>
  </si>
  <si>
    <t>https://www.mitsubishielectric.co.jp/fa/products/faspec/point.page?kisyu=/servo&amp;formNm=BKS1CBLA2_MR-BKS1CBL10M-A2-L_5485&amp;category=ex&amp;id=spec</t>
  </si>
  <si>
    <t>サーボモーターとアンプをつなぐブレーキケーブル。10m</t>
  </si>
  <si>
    <t>MR-J3BUS1M</t>
  </si>
  <si>
    <t>https://jp.misumi-ec.com/vona2/detail/222000343871/?PNSearch=MR-J3BUS1M&amp;HissuCode=MR-J3BUS1M&amp;Keyword=MR-J3BUS1M&amp;list=SuggestPreview&amp;searchFlow=suggest2products</t>
  </si>
  <si>
    <t>アンプとコントローラーをつなぐケーブル。1m</t>
  </si>
  <si>
    <t>MR-J3USBCBL3M</t>
  </si>
  <si>
    <t>https://www.mitsubishielectric.co.jp/fa/products/faspec/detail.do?kisyu=/servo&amp;formNm=J3USBCBL_MR-J3USBCBL3M_1</t>
  </si>
  <si>
    <t>コントローラーとパソコン通信ケーブル。3m</t>
  </si>
  <si>
    <t>減速機</t>
  </si>
  <si>
    <t>Nissei</t>
  </si>
  <si>
    <t>DGS010J-099NHS1NXU1</t>
  </si>
  <si>
    <t>https://sentei.nissei-gtr.co.jp/detail.php?model%5b%5d=DGS030J-119NKS2NXU1</t>
  </si>
  <si>
    <t>13 N・m</t>
  </si>
  <si>
    <t>1.12kg</t>
  </si>
  <si>
    <t>5軸目</t>
  </si>
  <si>
    <t>DGS030J-119NKS2NXU1</t>
  </si>
  <si>
    <t>https://sentei.nissei-gtr.co.jp/detail.php?model%5b%5d=DGS010J-099NHS1NXU1</t>
  </si>
  <si>
    <t>40 N・m</t>
  </si>
  <si>
    <t>1.59kg</t>
  </si>
  <si>
    <t>4軸目</t>
  </si>
  <si>
    <t>AF3FZ22R-240L100S1</t>
  </si>
  <si>
    <t>https://sentei.nissei-gtr.co.jp/detail.php?model%5b%5d=AF3FZ22R-240L100S1</t>
  </si>
  <si>
    <t>5 days</t>
  </si>
  <si>
    <t xml:space="preserve">57 N・m </t>
  </si>
  <si>
    <t>6 kg</t>
  </si>
  <si>
    <t>減速比1/240</t>
  </si>
  <si>
    <t>上のモーターに取り付け可能</t>
  </si>
  <si>
    <t>AF3FZ32R-240L400S1</t>
  </si>
  <si>
    <t>https://sentei.nissei-gtr.co.jp/detail.php?model%5b%5d=AF3FZ32R-240L400S1</t>
  </si>
  <si>
    <t xml:space="preserve">221 N・m </t>
  </si>
  <si>
    <t>14.5 kg</t>
  </si>
  <si>
    <t>AF3FZ40R-240L750S1</t>
  </si>
  <si>
    <t>https://sentei.nissei-gtr.co.jp/detail.php?model%5b%5d=AF3FZ40R-240L750S1</t>
  </si>
  <si>
    <t>423 N・m</t>
  </si>
  <si>
    <t>20kg</t>
  </si>
  <si>
    <t>上のモーターに取り付け可能、1軸目</t>
  </si>
  <si>
    <t>カップリング</t>
  </si>
  <si>
    <t>鍋谷</t>
  </si>
  <si>
    <t>MOR-68 フレキシブルカップリング</t>
  </si>
  <si>
    <t>https://www.nbk1560.com/products/coupling/couplicon/oldham/MOR/MOR-68/</t>
  </si>
  <si>
    <t>160 N・m</t>
  </si>
  <si>
    <t>穴径：25mm - 22mm（キー溝6mm）</t>
  </si>
  <si>
    <t>MOR-45 フレキシブルカップリング</t>
  </si>
  <si>
    <t>https://www.nbk1560.com/products/coupling/couplicon/oldham/MOR/MOR-45/</t>
  </si>
  <si>
    <t xml:space="preserve">60 N・m </t>
  </si>
  <si>
    <t>穴径：20mm - 22mm（キー溝6mm）</t>
  </si>
  <si>
    <t>MOR-38 フレキシブルカップリング</t>
  </si>
  <si>
    <t>https://www.nbk1560.com/products/coupling/couplicon/oldham/MOR/MOR-38/</t>
  </si>
  <si>
    <t xml:space="preserve">56 N・m </t>
  </si>
  <si>
    <t>穴径：20mm - 18mm（キー溝6mm）</t>
  </si>
  <si>
    <t>歯車（仮定）</t>
  </si>
  <si>
    <t>小原歯車</t>
  </si>
  <si>
    <t>MSGA4-40 平歯車</t>
  </si>
  <si>
    <t>https://www.khkgears.co.jp/khkweb/selection/draw/MSGA4-40</t>
  </si>
  <si>
    <t>MSGA2.5-40 平歯車</t>
  </si>
  <si>
    <t>https://www.khkgears.co.jp/khkweb/selection/draw/MSGA2.5-40</t>
  </si>
  <si>
    <t>MSGB2.5-40　平歯車</t>
  </si>
  <si>
    <t>https://www.khkgears.co.jp/khkweb/selection/draw/MSGB2.5-40</t>
  </si>
  <si>
    <t>オーダーメイド平歯車、穴径89.1mm、キー溝12mm、モジュール＝m4</t>
  </si>
  <si>
    <t>見積要</t>
  </si>
  <si>
    <t>50000円くらい？</t>
  </si>
  <si>
    <t>リニアアクチュエータ</t>
  </si>
  <si>
    <t>IAI</t>
  </si>
  <si>
    <t>EC-S7LD-800</t>
  </si>
  <si>
    <t>https://www.iai-robot.co.jp/product/details/EC-S7_D/index.html</t>
  </si>
  <si>
    <t>19kg（垂直搬送）</t>
  </si>
  <si>
    <t>9.9kg</t>
  </si>
  <si>
    <t>https://www.iai-netstore.com/ECMS/Page/ECRequirementSimpleSelection.aspx</t>
  </si>
  <si>
    <t>防塵だとmaxで800mmのストローク</t>
  </si>
  <si>
    <t>DC電源</t>
  </si>
  <si>
    <t>PSA-24</t>
  </si>
  <si>
    <t>https://www.monotaro.com/g/07035381/?srsltid=AfmBOop3zW1vbmENsuAQq8lADo9pPdYHfOToWFT4kIubwpPqekhAr5sp</t>
  </si>
  <si>
    <t>in 4 days</t>
  </si>
  <si>
    <t>Arduino</t>
  </si>
  <si>
    <t>Arduino Mega2560</t>
  </si>
  <si>
    <t>https://www.amazon.co.jp/Arduino-2560-ATmega2560-%E3%83%9E%E3%82%A4%E3%82%B3%E3%83%B3%E3%83%9C%E3%83%BC%E3%83%89-A000067/dp/B0046AMGW0</t>
  </si>
  <si>
    <t>5V</t>
  </si>
  <si>
    <t>Sensor</t>
  </si>
  <si>
    <t>緑測器</t>
  </si>
  <si>
    <t>CP-2FCB</t>
  </si>
  <si>
    <t>https://www.monotaro.com/p/4907/0568/?srsltid=AfmBOoqF_eCKZ1awFTU_3_Biiyg-xukEJILy_o5X6h6Za8VBetfcazx8U_c</t>
  </si>
  <si>
    <t>0.5W</t>
  </si>
  <si>
    <t>PC</t>
  </si>
  <si>
    <t>ASUS</t>
  </si>
  <si>
    <t>TUF Gaming F16 FX607JV</t>
  </si>
  <si>
    <t>https://store.asus.com/jp/90nr0hv7-m00fa0-asus-tuf-gaming-f16-2024.html?utm_source=chatgpt.com</t>
  </si>
  <si>
    <t>防塵、耐衝撃（規格MIL-STD-810H）</t>
  </si>
  <si>
    <t>取り付け材・補強材</t>
  </si>
  <si>
    <t>小計</t>
  </si>
  <si>
    <t>製作費（20％）</t>
  </si>
  <si>
    <t>合計</t>
  </si>
  <si>
    <t>給電系</t>
  </si>
  <si>
    <t>HG-KR13</t>
  </si>
  <si>
    <t>https://www.monotaro.com/p/8717/0675/</t>
  </si>
  <si>
    <t>定格出力0.1kW</t>
  </si>
  <si>
    <t>HG-KR43</t>
  </si>
  <si>
    <t>https://www.monotaro.com/p/8717/0693/</t>
  </si>
  <si>
    <t>定格出力0.4kW</t>
  </si>
  <si>
    <t>HG-KR73　MELSERVO-J4</t>
  </si>
  <si>
    <t>https://www.monotaro.com/p/8717/0702/?srsltid=AfmBOoqZ6KdtoqGK0evWpubetNSF1bz5xP-XUfy0CDPMRqXajNknXxpa</t>
  </si>
  <si>
    <t>定格出力0.75kW</t>
  </si>
  <si>
    <t>MR-PWS1CBL5M-A1-L</t>
  </si>
  <si>
    <t>https://www.mitsubishielectric.co.jp/fa/products/faspec/detail.do?kisyu=/servo&amp;formNm=PWS1CBLA1_MR-PWS1CBL5M-A1-L_5</t>
  </si>
  <si>
    <t>サーボモーターとアンプをつなぐ電源ケーブル。5m</t>
  </si>
  <si>
    <t>MR-J3ENCBL5M-A1-L</t>
  </si>
  <si>
    <t>https://www.mitsubishielectric.co.jp/fa/products/faspec/detail.do?kisyu=/servo&amp;formNm=MR-J3ENCBL5M-A1-L</t>
  </si>
  <si>
    <t>サーボモーターとアンプをつなぐ通信ケーブル。5m</t>
  </si>
  <si>
    <t>AH2LZ22L-120L100S1</t>
  </si>
  <si>
    <t>https://sentei.nissei-gtr.co.jp/detail.php?model[]=AH2LZ22L-120L100S1</t>
  </si>
  <si>
    <t>30 Nm</t>
  </si>
  <si>
    <t>4.5kg</t>
  </si>
  <si>
    <t>減速比1/120</t>
  </si>
  <si>
    <t>ベアリング（仮定）</t>
  </si>
  <si>
    <t>SKF</t>
  </si>
  <si>
    <t>63-6682-33　ローラーベアリング</t>
  </si>
  <si>
    <t>https://axel.as-1.co.jp/asone/d/63-6682-33/</t>
  </si>
  <si>
    <t>MSGB2.5-60 平歯車</t>
  </si>
  <si>
    <t>https://www.khkgears.co.jp/khkweb/selection/draw/MSGB2.5-60</t>
  </si>
  <si>
    <t>外径150mm</t>
  </si>
  <si>
    <t>外径100mm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</si>
</sst>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¥-411]#,##0.00"/>
  </numFmts>
  <fonts count="1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333333"/>
      <name val="Meiryo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&quot;Hiragino Kaku Gothic ProN&quot;"/>
    </font>
    <font>
      <u/>
      <color rgb="FF0000FF"/>
    </font>
    <font>
      <color theme="1"/>
      <name val="Arial"/>
    </font>
    <font>
      <b/>
      <color theme="1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horizontal="left" readingOrder="0"/>
    </xf>
    <xf borderId="0" fillId="4" fontId="2" numFmtId="164" xfId="0" applyAlignment="1" applyFont="1" applyNumberFormat="1">
      <alignment readingOrder="0"/>
    </xf>
    <xf borderId="0" fillId="4" fontId="2" numFmtId="164" xfId="0" applyFont="1" applyNumberFormat="1"/>
    <xf borderId="0" fillId="4" fontId="4" numFmtId="0" xfId="0" applyAlignment="1" applyFont="1">
      <alignment readingOrder="0"/>
    </xf>
    <xf borderId="0" fillId="4" fontId="2" numFmtId="0" xfId="0" applyFont="1"/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164" xfId="0" applyFont="1" applyNumberFormat="1"/>
    <xf borderId="0" fillId="3" fontId="5" numFmtId="0" xfId="0" applyAlignment="1" applyFont="1">
      <alignment readingOrder="0"/>
    </xf>
    <xf borderId="0" fillId="3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164" xfId="0" applyAlignment="1" applyFont="1" applyNumberFormat="1">
      <alignment readingOrder="0"/>
    </xf>
    <xf borderId="0" fillId="5" fontId="2" numFmtId="164" xfId="0" applyFont="1" applyNumberFormat="1"/>
    <xf borderId="0" fillId="5" fontId="7" numFmtId="0" xfId="0" applyAlignment="1" applyFon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0" fillId="6" fontId="2" numFmtId="164" xfId="0" applyAlignment="1" applyFont="1" applyNumberFormat="1">
      <alignment readingOrder="0"/>
    </xf>
    <xf borderId="0" fillId="6" fontId="2" numFmtId="164" xfId="0" applyFont="1" applyNumberFormat="1"/>
    <xf borderId="0" fillId="6" fontId="8" numFmtId="0" xfId="0" applyAlignment="1" applyFont="1">
      <alignment readingOrder="0"/>
    </xf>
    <xf borderId="0" fillId="6" fontId="2" numFmtId="0" xfId="0" applyFont="1"/>
    <xf borderId="0" fillId="4" fontId="9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11" numFmtId="0" xfId="0" applyAlignment="1" applyFont="1">
      <alignment readingOrder="0"/>
    </xf>
    <xf borderId="0" fillId="3" fontId="2" numFmtId="0" xfId="0" applyAlignment="1" applyFont="1">
      <alignment horizontal="center"/>
    </xf>
    <xf borderId="0" fillId="7" fontId="2" numFmtId="0" xfId="0" applyAlignment="1" applyFill="1" applyFont="1">
      <alignment readingOrder="0"/>
    </xf>
    <xf borderId="0" fillId="7" fontId="2" numFmtId="164" xfId="0" applyAlignment="1" applyFont="1" applyNumberFormat="1">
      <alignment readingOrder="0"/>
    </xf>
    <xf borderId="0" fillId="3" fontId="3" numFmtId="0" xfId="0" applyAlignment="1" applyFont="1">
      <alignment horizontal="left" readingOrder="0"/>
    </xf>
    <xf borderId="0" fillId="8" fontId="2" numFmtId="0" xfId="0" applyAlignment="1" applyFill="1" applyFont="1">
      <alignment horizontal="center"/>
    </xf>
    <xf borderId="0" fillId="8" fontId="2" numFmtId="0" xfId="0" applyFont="1"/>
    <xf borderId="0" fillId="8" fontId="2" numFmtId="164" xfId="0" applyFont="1" applyNumberFormat="1"/>
    <xf borderId="0" fillId="0" fontId="12" numFmtId="0" xfId="0" applyAlignment="1" applyFont="1">
      <alignment readingOrder="0"/>
    </xf>
    <xf borderId="0" fillId="9" fontId="2" numFmtId="0" xfId="0" applyAlignment="1" applyFill="1" applyFont="1">
      <alignment horizontal="center"/>
    </xf>
    <xf borderId="0" fillId="9" fontId="2" numFmtId="0" xfId="0" applyFont="1"/>
    <xf borderId="0" fillId="9" fontId="2" numFmtId="164" xfId="0" applyFont="1" applyNumberFormat="1"/>
    <xf borderId="0" fillId="0" fontId="12" numFmtId="164" xfId="0" applyFont="1" applyNumberForma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bk1560.com/products/coupling/couplicon/oldham/MOR/MOR-38/" TargetMode="External"/><Relationship Id="rId22" Type="http://schemas.openxmlformats.org/officeDocument/2006/relationships/hyperlink" Target="https://www.khkgears.co.jp/khkweb/selection/draw/MSGA2.5-40" TargetMode="External"/><Relationship Id="rId21" Type="http://schemas.openxmlformats.org/officeDocument/2006/relationships/hyperlink" Target="https://www.khkgears.co.jp/khkweb/selection/draw/MSGA4-40" TargetMode="External"/><Relationship Id="rId24" Type="http://schemas.openxmlformats.org/officeDocument/2006/relationships/hyperlink" Target="https://www.iai-robot.co.jp/product/details/EC-S7_D/index.html" TargetMode="External"/><Relationship Id="rId23" Type="http://schemas.openxmlformats.org/officeDocument/2006/relationships/hyperlink" Target="https://www.khkgears.co.jp/khkweb/selection/draw/MSGB2.5-40" TargetMode="External"/><Relationship Id="rId1" Type="http://schemas.openxmlformats.org/officeDocument/2006/relationships/hyperlink" Target="https://www.monotaro.com/g/00957661/?t.q=HG-KR%E3%82%B7%E3%83%AA%E3%83%BC%E3%82%BA%28%E4%BD%8E%E6%85%A3%E6%80%A7%E3%83%BB%E5%B0%8F%E5%AE%B9%E9%87%8F%29%20%E3%82%B5%E3%83%BC%E3%83%9C%E3%83%A2%E3%83%BC%E3%82%BF%20%E9%9B%BB%E7%A3%81%E3%83%96%E3%83%AC%E3%83%BC%E3%82%AD%E4%BB%98" TargetMode="External"/><Relationship Id="rId2" Type="http://schemas.openxmlformats.org/officeDocument/2006/relationships/hyperlink" Target="https://www.monotaro.com/g/00957661/?t.q=HG-KR%E3%82%B7%E3%83%AA%E3%83%BC%E3%82%BA%28%E4%BD%8E%E6%85%A3%E6%80%A7%E3%83%BB%E5%B0%8F%E5%AE%B9%E9%87%8F%29%20%E3%82%B5%E3%83%BC%E3%83%9C%E3%83%A2%E3%83%BC%E3%82%BF%20%E9%9B%BB%E7%A3%81%E3%83%96%E3%83%AC%E3%83%BC%E3%82%AD%E4%BB%98" TargetMode="External"/><Relationship Id="rId3" Type="http://schemas.openxmlformats.org/officeDocument/2006/relationships/hyperlink" Target="https://www.monotaro.com/g/00957661/?t.q=HG-KR%E3%82%B7%E3%83%AA%E3%83%BC%E3%82%BA%28%E4%BD%8E%E6%85%A3%E6%80%A7%E3%83%BB%E5%B0%8F%E5%AE%B9%E9%87%8F%29%20%E3%82%B5%E3%83%BC%E3%83%9C%E3%83%A2%E3%83%BC%E3%82%BF%20%E9%9B%BB%E7%A3%81%E3%83%96%E3%83%AC%E3%83%BC%E3%82%AD%E4%BB%98" TargetMode="External"/><Relationship Id="rId4" Type="http://schemas.openxmlformats.org/officeDocument/2006/relationships/hyperlink" Target="https://www.monotaro.com/p/8717/0115/?srsltid=AfmBOoq1XnzGy4qci4BcPj1zmpTaBPmcDEMPa3S963-XpHzy1LZaawP4" TargetMode="External"/><Relationship Id="rId9" Type="http://schemas.openxmlformats.org/officeDocument/2006/relationships/hyperlink" Target="https://www.mitsubishielectric.co.jp/fa/products/faspec/point.page?kisyu=/servo&amp;formNm=J3ENCBLA2_MR-J3ENCBL10M-A2-L_5447&amp;category=ex&amp;id=spec" TargetMode="External"/><Relationship Id="rId26" Type="http://schemas.openxmlformats.org/officeDocument/2006/relationships/hyperlink" Target="https://www.monotaro.com/g/07035381/?srsltid=AfmBOop3zW1vbmENsuAQq8lADo9pPdYHfOToWFT4kIubwpPqekhAr5sp" TargetMode="External"/><Relationship Id="rId25" Type="http://schemas.openxmlformats.org/officeDocument/2006/relationships/hyperlink" Target="https://www.iai-netstore.com/ECMS/Page/ECRequirementSimpleSelection.aspx" TargetMode="External"/><Relationship Id="rId28" Type="http://schemas.openxmlformats.org/officeDocument/2006/relationships/hyperlink" Target="https://www.monotaro.com/p/4907/0568/?srsltid=AfmBOoqF_eCKZ1awFTU_3_Biiyg-xukEJILy_o5X6h6Za8VBetfcazx8U_c" TargetMode="External"/><Relationship Id="rId27" Type="http://schemas.openxmlformats.org/officeDocument/2006/relationships/hyperlink" Target="https://www.amazon.co.jp/Arduino-2560-ATmega2560-%E3%83%9E%E3%82%A4%E3%82%B3%E3%83%B3%E3%83%9C%E3%83%BC%E3%83%89-A000067/dp/B0046AMGW0" TargetMode="External"/><Relationship Id="rId5" Type="http://schemas.openxmlformats.org/officeDocument/2006/relationships/hyperlink" Target="https://jp.misumi-ec.com/vona2/detail/221005851857/" TargetMode="External"/><Relationship Id="rId6" Type="http://schemas.openxmlformats.org/officeDocument/2006/relationships/hyperlink" Target="https://jp.misumi-ec.com/vona2/detail/221005851857/?HissuCode=MR-J4W2-77B&amp;PNSearch=MR-J4W2-77B&amp;KWSearch=MR-J4W2-77B&amp;searchFlow=results2products&amp;list=PageSearchResult" TargetMode="External"/><Relationship Id="rId29" Type="http://schemas.openxmlformats.org/officeDocument/2006/relationships/hyperlink" Target="https://store.asus.com/jp/90nr0hv7-m00fa0-asus-tuf-gaming-f16-2024.html?utm_source=chatgpt.com" TargetMode="External"/><Relationship Id="rId7" Type="http://schemas.openxmlformats.org/officeDocument/2006/relationships/hyperlink" Target="https://jp.misumi-ec.com/vona2/detail/222005981627/?PNSearch=FX5-80SSC-S&amp;HissuCode=FX5-80SSC-S&amp;Keyword=FX5-80SSC-S&amp;list=SuggestPreview&amp;searchFlow=suggest2products" TargetMode="External"/><Relationship Id="rId8" Type="http://schemas.openxmlformats.org/officeDocument/2006/relationships/hyperlink" Target="https://www.mitsubishielectric.co.jp/fa/products/faspec/point.page?kisyu=/servo&amp;formNm=PWS1CBLA2_MR-PWS1CBL10M-A2-L_5475&amp;category=ex&amp;id=spec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jp.misumi-ec.com/vona2/detail/222000343871/?PNSearch=MR-J3BUS1M&amp;HissuCode=MR-J3BUS1M&amp;Keyword=MR-J3BUS1M&amp;list=SuggestPreview&amp;searchFlow=suggest2products" TargetMode="External"/><Relationship Id="rId10" Type="http://schemas.openxmlformats.org/officeDocument/2006/relationships/hyperlink" Target="https://www.mitsubishielectric.co.jp/fa/products/faspec/point.page?kisyu=/servo&amp;formNm=BKS1CBLA2_MR-BKS1CBL10M-A2-L_5485&amp;category=ex&amp;id=spec" TargetMode="External"/><Relationship Id="rId13" Type="http://schemas.openxmlformats.org/officeDocument/2006/relationships/hyperlink" Target="https://sentei.nissei-gtr.co.jp/detail.php?model%5b%5d=DGS030J-119NKS2NXU1" TargetMode="External"/><Relationship Id="rId12" Type="http://schemas.openxmlformats.org/officeDocument/2006/relationships/hyperlink" Target="https://www.mitsubishielectric.co.jp/fa/products/faspec/detail.do?kisyu=/servo&amp;formNm=J3USBCBL_MR-J3USBCBL3M_1" TargetMode="External"/><Relationship Id="rId15" Type="http://schemas.openxmlformats.org/officeDocument/2006/relationships/hyperlink" Target="https://sentei.nissei-gtr.co.jp/detail.php?model%5b%5d=AF3FZ22R-240L100S1" TargetMode="External"/><Relationship Id="rId14" Type="http://schemas.openxmlformats.org/officeDocument/2006/relationships/hyperlink" Target="https://sentei.nissei-gtr.co.jp/detail.php?model%5b%5d=DGS010J-099NHS1NXU1" TargetMode="External"/><Relationship Id="rId17" Type="http://schemas.openxmlformats.org/officeDocument/2006/relationships/hyperlink" Target="https://sentei.nissei-gtr.co.jp/detail.php?model%5b%5d=AF3FZ40R-240L750S1" TargetMode="External"/><Relationship Id="rId16" Type="http://schemas.openxmlformats.org/officeDocument/2006/relationships/hyperlink" Target="https://sentei.nissei-gtr.co.jp/detail.php?model%5b%5d=AF3FZ32R-240L400S1" TargetMode="External"/><Relationship Id="rId19" Type="http://schemas.openxmlformats.org/officeDocument/2006/relationships/hyperlink" Target="https://www.nbk1560.com/products/coupling/couplicon/oldham/MOR/MOR-45/" TargetMode="External"/><Relationship Id="rId18" Type="http://schemas.openxmlformats.org/officeDocument/2006/relationships/hyperlink" Target="https://www.nbk1560.com/products/coupling/couplicon/oldham/MOR/MOR-68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ai-netstore.com/ECMS/Page/ECRequirementSimpleSelection.aspx" TargetMode="External"/><Relationship Id="rId22" Type="http://schemas.openxmlformats.org/officeDocument/2006/relationships/hyperlink" Target="https://www.amazon.co.jp/Arduino-2560-ATmega2560-%E3%83%9E%E3%82%A4%E3%82%B3%E3%83%B3%E3%83%9C%E3%83%BC%E3%83%89-A000067/dp/B0046AMGW0" TargetMode="External"/><Relationship Id="rId21" Type="http://schemas.openxmlformats.org/officeDocument/2006/relationships/hyperlink" Target="https://www.monotaro.com/g/07035381/?srsltid=AfmBOop3zW1vbmENsuAQq8lADo9pPdYHfOToWFT4kIubwpPqekhAr5sp" TargetMode="External"/><Relationship Id="rId24" Type="http://schemas.openxmlformats.org/officeDocument/2006/relationships/hyperlink" Target="https://store.asus.com/jp/90nr0hv7-m00fa0-asus-tuf-gaming-f16-2024.html?utm_source=chatgpt.com" TargetMode="External"/><Relationship Id="rId23" Type="http://schemas.openxmlformats.org/officeDocument/2006/relationships/hyperlink" Target="https://www.monotaro.com/p/4907/0568/?srsltid=AfmBOoqF_eCKZ1awFTU_3_Biiyg-xukEJILy_o5X6h6Za8VBetfcazx8U_c" TargetMode="External"/><Relationship Id="rId1" Type="http://schemas.openxmlformats.org/officeDocument/2006/relationships/hyperlink" Target="https://www.monotaro.com/p/8717/0675/" TargetMode="External"/><Relationship Id="rId2" Type="http://schemas.openxmlformats.org/officeDocument/2006/relationships/hyperlink" Target="https://www.monotaro.com/p/8717/0693/" TargetMode="External"/><Relationship Id="rId3" Type="http://schemas.openxmlformats.org/officeDocument/2006/relationships/hyperlink" Target="https://www.monotaro.com/p/8717/0702/?srsltid=AfmBOoqZ6KdtoqGK0evWpubetNSF1bz5xP-XUfy0CDPMRqXajNknXxpa" TargetMode="External"/><Relationship Id="rId4" Type="http://schemas.openxmlformats.org/officeDocument/2006/relationships/hyperlink" Target="https://www.monotaro.com/p/8717/0115/?srsltid=AfmBOoq1XnzGy4qci4BcPj1zmpTaBPmcDEMPa3S963-XpHzy1LZaawP4" TargetMode="External"/><Relationship Id="rId9" Type="http://schemas.openxmlformats.org/officeDocument/2006/relationships/hyperlink" Target="https://www.mitsubishielectric.co.jp/fa/products/faspec/detail.do?kisyu=/servo&amp;formNm=MR-J3ENCBL5M-A1-L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jp.misumi-ec.com/vona2/detail/221005851857/" TargetMode="External"/><Relationship Id="rId6" Type="http://schemas.openxmlformats.org/officeDocument/2006/relationships/hyperlink" Target="https://jp.misumi-ec.com/vona2/detail/221005851857/?HissuCode=MR-J4W2-77B&amp;PNSearch=MR-J4W2-77B&amp;KWSearch=MR-J4W2-77B&amp;searchFlow=results2products&amp;list=PageSearchResult" TargetMode="External"/><Relationship Id="rId7" Type="http://schemas.openxmlformats.org/officeDocument/2006/relationships/hyperlink" Target="https://jp.misumi-ec.com/vona2/detail/222005981627/?PNSearch=FX5-80SSC-S&amp;HissuCode=FX5-80SSC-S&amp;Keyword=FX5-80SSC-S&amp;list=SuggestPreview&amp;searchFlow=suggest2products" TargetMode="External"/><Relationship Id="rId8" Type="http://schemas.openxmlformats.org/officeDocument/2006/relationships/hyperlink" Target="https://www.mitsubishielectric.co.jp/fa/products/faspec/detail.do?kisyu=/servo&amp;formNm=PWS1CBLA1_MR-PWS1CBL5M-A1-L_5" TargetMode="External"/><Relationship Id="rId11" Type="http://schemas.openxmlformats.org/officeDocument/2006/relationships/hyperlink" Target="https://www.mitsubishielectric.co.jp/fa/products/faspec/detail.do?kisyu=/servo&amp;formNm=J3USBCBL_MR-J3USBCBL3M_1" TargetMode="External"/><Relationship Id="rId10" Type="http://schemas.openxmlformats.org/officeDocument/2006/relationships/hyperlink" Target="https://jp.misumi-ec.com/vona2/detail/222000343871/?PNSearch=MR-J3BUS1M&amp;HissuCode=MR-J3BUS1M&amp;Keyword=MR-J3BUS1M&amp;list=SuggestPreview&amp;searchFlow=suggest2products" TargetMode="External"/><Relationship Id="rId13" Type="http://schemas.openxmlformats.org/officeDocument/2006/relationships/hyperlink" Target="https://sentei.nissei-gtr.co.jp/detail.php?model%5b%5d=AF3FZ22R-240L100S1" TargetMode="External"/><Relationship Id="rId12" Type="http://schemas.openxmlformats.org/officeDocument/2006/relationships/hyperlink" Target="https://sentei.nissei-gtr.co.jp/detail.php?model%5B%5D=AH2LZ22L-120L100S1" TargetMode="External"/><Relationship Id="rId15" Type="http://schemas.openxmlformats.org/officeDocument/2006/relationships/hyperlink" Target="https://sentei.nissei-gtr.co.jp/detail.php?model%5b%5d=AF3FZ40R-240L750S1" TargetMode="External"/><Relationship Id="rId14" Type="http://schemas.openxmlformats.org/officeDocument/2006/relationships/hyperlink" Target="https://sentei.nissei-gtr.co.jp/detail.php?model%5b%5d=AF3FZ32R-240L400S1" TargetMode="External"/><Relationship Id="rId17" Type="http://schemas.openxmlformats.org/officeDocument/2006/relationships/hyperlink" Target="https://www.khkgears.co.jp/khkweb/selection/draw/MSGB2.5-60" TargetMode="External"/><Relationship Id="rId16" Type="http://schemas.openxmlformats.org/officeDocument/2006/relationships/hyperlink" Target="https://axel.as-1.co.jp/asone/d/63-6682-33/" TargetMode="External"/><Relationship Id="rId19" Type="http://schemas.openxmlformats.org/officeDocument/2006/relationships/hyperlink" Target="https://www.iai-robot.co.jp/product/details/EC-S7_D/index.html" TargetMode="External"/><Relationship Id="rId18" Type="http://schemas.openxmlformats.org/officeDocument/2006/relationships/hyperlink" Target="https://www.khkgears.co.jp/khkweb/selection/draw/MSGA2.5-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.88"/>
    <col customWidth="1" min="3" max="3" width="17.63"/>
    <col customWidth="1" min="4" max="4" width="7.63"/>
    <col customWidth="1" min="5" max="5" width="54.0"/>
    <col customWidth="1" min="6" max="6" width="10.25"/>
    <col customWidth="1" min="7" max="7" width="16.0"/>
    <col customWidth="1" min="8" max="8" width="11.63"/>
    <col customWidth="1" min="9" max="9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.0" customHeight="1">
      <c r="A2" s="2"/>
      <c r="H2" s="3">
        <f t="shared" ref="H2:H18" si="1">F2*G2</f>
        <v>0</v>
      </c>
    </row>
    <row r="3">
      <c r="A3" s="4" t="s">
        <v>16</v>
      </c>
      <c r="B3" s="5">
        <v>1.0</v>
      </c>
      <c r="C3" s="5" t="s">
        <v>17</v>
      </c>
      <c r="D3" s="5" t="s">
        <v>18</v>
      </c>
      <c r="E3" s="6" t="s">
        <v>19</v>
      </c>
      <c r="F3" s="7">
        <v>90178.0</v>
      </c>
      <c r="G3" s="5">
        <v>3.0</v>
      </c>
      <c r="H3" s="8">
        <f t="shared" si="1"/>
        <v>270534</v>
      </c>
      <c r="I3" s="9" t="s">
        <v>20</v>
      </c>
      <c r="J3" s="5" t="s">
        <v>21</v>
      </c>
      <c r="K3" s="5" t="s">
        <v>22</v>
      </c>
      <c r="L3" s="5" t="s">
        <v>23</v>
      </c>
      <c r="M3" s="5" t="s">
        <v>24</v>
      </c>
      <c r="N3" s="5" t="s">
        <v>25</v>
      </c>
      <c r="O3" s="10"/>
      <c r="P3" s="5" t="s">
        <v>26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13.5" customHeight="1">
      <c r="A4" s="4" t="s">
        <v>16</v>
      </c>
      <c r="B4" s="5"/>
      <c r="C4" s="5"/>
      <c r="D4" s="5" t="s">
        <v>18</v>
      </c>
      <c r="E4" s="5" t="s">
        <v>27</v>
      </c>
      <c r="F4" s="7">
        <v>93478.0</v>
      </c>
      <c r="G4" s="5">
        <v>1.0</v>
      </c>
      <c r="H4" s="8">
        <f t="shared" si="1"/>
        <v>93478</v>
      </c>
      <c r="I4" s="9" t="s">
        <v>20</v>
      </c>
      <c r="J4" s="5" t="s">
        <v>21</v>
      </c>
      <c r="K4" s="5" t="s">
        <v>22</v>
      </c>
      <c r="L4" s="5" t="s">
        <v>28</v>
      </c>
      <c r="M4" s="5" t="s">
        <v>29</v>
      </c>
      <c r="N4" s="5" t="s">
        <v>25</v>
      </c>
      <c r="O4" s="10"/>
      <c r="P4" s="5" t="s">
        <v>30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4" t="s">
        <v>16</v>
      </c>
      <c r="B5" s="5"/>
      <c r="C5" s="5"/>
      <c r="D5" s="5" t="s">
        <v>18</v>
      </c>
      <c r="E5" s="5" t="s">
        <v>31</v>
      </c>
      <c r="F5" s="7">
        <v>106678.0</v>
      </c>
      <c r="G5" s="5">
        <v>1.0</v>
      </c>
      <c r="H5" s="8">
        <f t="shared" si="1"/>
        <v>106678</v>
      </c>
      <c r="I5" s="9" t="s">
        <v>20</v>
      </c>
      <c r="J5" s="5" t="s">
        <v>21</v>
      </c>
      <c r="K5" s="5" t="s">
        <v>22</v>
      </c>
      <c r="L5" s="5" t="s">
        <v>32</v>
      </c>
      <c r="M5" s="5" t="s">
        <v>33</v>
      </c>
      <c r="N5" s="5" t="s">
        <v>25</v>
      </c>
      <c r="O5" s="10"/>
      <c r="P5" s="5" t="s">
        <v>34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3.0" customHeight="1">
      <c r="A6" s="2"/>
      <c r="F6" s="3"/>
      <c r="H6" s="3">
        <f t="shared" si="1"/>
        <v>0</v>
      </c>
    </row>
    <row r="7" ht="18.75" customHeight="1">
      <c r="A7" s="4" t="s">
        <v>16</v>
      </c>
      <c r="B7" s="11">
        <v>2.0</v>
      </c>
      <c r="C7" s="11" t="s">
        <v>35</v>
      </c>
      <c r="D7" s="11" t="s">
        <v>18</v>
      </c>
      <c r="E7" s="11" t="s">
        <v>36</v>
      </c>
      <c r="F7" s="12">
        <v>97878.0</v>
      </c>
      <c r="G7" s="11">
        <v>1.0</v>
      </c>
      <c r="H7" s="13">
        <f t="shared" si="1"/>
        <v>97878</v>
      </c>
      <c r="I7" s="14" t="s">
        <v>37</v>
      </c>
      <c r="J7" s="11" t="s">
        <v>38</v>
      </c>
      <c r="K7" s="11" t="s">
        <v>39</v>
      </c>
      <c r="L7" s="11" t="s">
        <v>39</v>
      </c>
      <c r="M7" s="11" t="s">
        <v>29</v>
      </c>
      <c r="N7" s="11" t="s">
        <v>39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4" t="s">
        <v>16</v>
      </c>
      <c r="B8" s="15"/>
      <c r="C8" s="15"/>
      <c r="D8" s="15"/>
      <c r="E8" s="11" t="s">
        <v>40</v>
      </c>
      <c r="F8" s="12">
        <v>77058.0</v>
      </c>
      <c r="G8" s="11">
        <v>1.0</v>
      </c>
      <c r="H8" s="13">
        <f t="shared" si="1"/>
        <v>77058</v>
      </c>
      <c r="I8" s="14" t="s">
        <v>41</v>
      </c>
      <c r="J8" s="11" t="s">
        <v>21</v>
      </c>
      <c r="K8" s="11" t="s">
        <v>39</v>
      </c>
      <c r="L8" s="11" t="s">
        <v>39</v>
      </c>
      <c r="M8" s="11" t="s">
        <v>29</v>
      </c>
      <c r="N8" s="11" t="s">
        <v>39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4" t="s">
        <v>16</v>
      </c>
      <c r="B9" s="15"/>
      <c r="C9" s="15"/>
      <c r="D9" s="15"/>
      <c r="E9" s="11" t="s">
        <v>42</v>
      </c>
      <c r="F9" s="12">
        <v>214929.0</v>
      </c>
      <c r="G9" s="11">
        <v>1.0</v>
      </c>
      <c r="H9" s="13">
        <f t="shared" si="1"/>
        <v>214929</v>
      </c>
      <c r="I9" s="14" t="s">
        <v>43</v>
      </c>
      <c r="J9" s="11" t="s">
        <v>21</v>
      </c>
      <c r="K9" s="11" t="s">
        <v>39</v>
      </c>
      <c r="L9" s="11" t="s">
        <v>39</v>
      </c>
      <c r="M9" s="11" t="s">
        <v>29</v>
      </c>
      <c r="N9" s="11" t="s">
        <v>39</v>
      </c>
      <c r="O9" s="15"/>
      <c r="P9" s="11" t="s">
        <v>44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3.0" customHeight="1">
      <c r="A10" s="2"/>
      <c r="F10" s="3"/>
      <c r="H10" s="3">
        <f t="shared" si="1"/>
        <v>0</v>
      </c>
    </row>
    <row r="11">
      <c r="A11" s="4" t="s">
        <v>16</v>
      </c>
      <c r="B11" s="16">
        <v>3.0</v>
      </c>
      <c r="C11" s="16" t="s">
        <v>45</v>
      </c>
      <c r="D11" s="16" t="s">
        <v>18</v>
      </c>
      <c r="E11" s="16" t="s">
        <v>46</v>
      </c>
      <c r="F11" s="17">
        <v>169400.0</v>
      </c>
      <c r="G11" s="16">
        <v>1.0</v>
      </c>
      <c r="H11" s="3">
        <f t="shared" si="1"/>
        <v>169400</v>
      </c>
      <c r="I11" s="18" t="s">
        <v>47</v>
      </c>
      <c r="J11" s="16" t="s">
        <v>48</v>
      </c>
      <c r="K11" s="16" t="s">
        <v>49</v>
      </c>
      <c r="L11" s="16" t="s">
        <v>39</v>
      </c>
      <c r="M11" s="16" t="s">
        <v>39</v>
      </c>
      <c r="N11" s="16" t="s">
        <v>39</v>
      </c>
    </row>
    <row r="12" ht="3.0" customHeight="1">
      <c r="A12" s="2"/>
      <c r="F12" s="3"/>
      <c r="H12" s="3">
        <f t="shared" si="1"/>
        <v>0</v>
      </c>
    </row>
    <row r="13">
      <c r="A13" s="4" t="s">
        <v>16</v>
      </c>
      <c r="B13" s="19">
        <v>4.0</v>
      </c>
      <c r="C13" s="19" t="s">
        <v>50</v>
      </c>
      <c r="D13" s="19" t="s">
        <v>18</v>
      </c>
      <c r="E13" s="19" t="s">
        <v>51</v>
      </c>
      <c r="F13" s="20">
        <v>15000.0</v>
      </c>
      <c r="G13" s="19">
        <v>5.0</v>
      </c>
      <c r="H13" s="21">
        <f t="shared" si="1"/>
        <v>75000</v>
      </c>
      <c r="I13" s="22" t="s">
        <v>52</v>
      </c>
      <c r="J13" s="23"/>
      <c r="K13" s="19" t="s">
        <v>39</v>
      </c>
      <c r="L13" s="19" t="s">
        <v>39</v>
      </c>
      <c r="M13" s="19" t="s">
        <v>39</v>
      </c>
      <c r="N13" s="19" t="s">
        <v>39</v>
      </c>
      <c r="O13" s="23"/>
      <c r="P13" s="19" t="s">
        <v>53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>
      <c r="A14" s="4" t="s">
        <v>16</v>
      </c>
      <c r="B14" s="19"/>
      <c r="C14" s="19"/>
      <c r="D14" s="19" t="s">
        <v>18</v>
      </c>
      <c r="E14" s="19" t="s">
        <v>54</v>
      </c>
      <c r="F14" s="20">
        <v>16500.0</v>
      </c>
      <c r="G14" s="19">
        <v>5.0</v>
      </c>
      <c r="H14" s="21">
        <f t="shared" si="1"/>
        <v>82500</v>
      </c>
      <c r="I14" s="22" t="s">
        <v>55</v>
      </c>
      <c r="J14" s="23"/>
      <c r="K14" s="19" t="s">
        <v>39</v>
      </c>
      <c r="L14" s="19" t="s">
        <v>39</v>
      </c>
      <c r="M14" s="19" t="s">
        <v>39</v>
      </c>
      <c r="N14" s="19" t="s">
        <v>39</v>
      </c>
      <c r="O14" s="23"/>
      <c r="P14" s="19" t="s">
        <v>56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>
      <c r="A15" s="4" t="s">
        <v>16</v>
      </c>
      <c r="B15" s="24"/>
      <c r="C15" s="24"/>
      <c r="D15" s="24" t="s">
        <v>18</v>
      </c>
      <c r="E15" s="24" t="s">
        <v>57</v>
      </c>
      <c r="F15" s="25">
        <v>13000.0</v>
      </c>
      <c r="G15" s="24">
        <v>5.0</v>
      </c>
      <c r="H15" s="26">
        <f t="shared" si="1"/>
        <v>65000</v>
      </c>
      <c r="I15" s="27" t="s">
        <v>58</v>
      </c>
      <c r="J15" s="28"/>
      <c r="K15" s="24"/>
      <c r="L15" s="24"/>
      <c r="M15" s="24"/>
      <c r="N15" s="24"/>
      <c r="O15" s="28"/>
      <c r="P15" s="24" t="s">
        <v>59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>
      <c r="A16" s="4" t="s">
        <v>16</v>
      </c>
      <c r="D16" s="16" t="s">
        <v>18</v>
      </c>
      <c r="E16" s="16" t="s">
        <v>60</v>
      </c>
      <c r="F16" s="17">
        <v>11970.0</v>
      </c>
      <c r="G16" s="16">
        <v>3.0</v>
      </c>
      <c r="H16" s="3">
        <f t="shared" si="1"/>
        <v>35910</v>
      </c>
      <c r="I16" s="18" t="s">
        <v>61</v>
      </c>
      <c r="K16" s="16" t="s">
        <v>39</v>
      </c>
      <c r="L16" s="16" t="s">
        <v>39</v>
      </c>
      <c r="M16" s="16" t="s">
        <v>39</v>
      </c>
      <c r="N16" s="16" t="s">
        <v>39</v>
      </c>
      <c r="P16" s="16" t="s">
        <v>62</v>
      </c>
    </row>
    <row r="17">
      <c r="A17" s="2"/>
      <c r="D17" s="16" t="s">
        <v>18</v>
      </c>
      <c r="E17" s="16" t="s">
        <v>63</v>
      </c>
      <c r="F17" s="17">
        <v>16000.0</v>
      </c>
      <c r="G17" s="16">
        <v>1.0</v>
      </c>
      <c r="H17" s="3">
        <f t="shared" si="1"/>
        <v>16000</v>
      </c>
      <c r="I17" s="18" t="s">
        <v>64</v>
      </c>
      <c r="K17" s="16" t="s">
        <v>39</v>
      </c>
      <c r="L17" s="16" t="s">
        <v>39</v>
      </c>
      <c r="M17" s="16" t="s">
        <v>39</v>
      </c>
      <c r="N17" s="16" t="s">
        <v>39</v>
      </c>
      <c r="P17" s="16" t="s">
        <v>65</v>
      </c>
    </row>
    <row r="18" ht="3.0" customHeight="1">
      <c r="A18" s="2"/>
      <c r="F18" s="3"/>
      <c r="H18" s="3">
        <f t="shared" si="1"/>
        <v>0</v>
      </c>
    </row>
    <row r="19">
      <c r="A19" s="4" t="s">
        <v>16</v>
      </c>
      <c r="B19" s="5">
        <v>5.0</v>
      </c>
      <c r="C19" s="5" t="s">
        <v>66</v>
      </c>
      <c r="D19" s="5" t="s">
        <v>67</v>
      </c>
      <c r="E19" s="29" t="s">
        <v>68</v>
      </c>
      <c r="F19" s="7" t="s">
        <v>39</v>
      </c>
      <c r="G19" s="5">
        <v>1.0</v>
      </c>
      <c r="H19" s="8"/>
      <c r="I19" s="30" t="s">
        <v>69</v>
      </c>
      <c r="J19" s="5" t="s">
        <v>39</v>
      </c>
      <c r="K19" s="5" t="s">
        <v>39</v>
      </c>
      <c r="L19" s="5" t="s">
        <v>70</v>
      </c>
      <c r="M19" s="5" t="s">
        <v>71</v>
      </c>
      <c r="N19" s="10"/>
      <c r="O19" s="10"/>
      <c r="P19" s="5" t="s">
        <v>72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4" t="s">
        <v>16</v>
      </c>
      <c r="B20" s="5"/>
      <c r="C20" s="5"/>
      <c r="D20" s="5" t="s">
        <v>67</v>
      </c>
      <c r="E20" s="31" t="s">
        <v>73</v>
      </c>
      <c r="F20" s="7" t="s">
        <v>39</v>
      </c>
      <c r="G20" s="5">
        <v>1.0</v>
      </c>
      <c r="H20" s="8"/>
      <c r="I20" s="30" t="s">
        <v>74</v>
      </c>
      <c r="J20" s="5" t="s">
        <v>39</v>
      </c>
      <c r="K20" s="5" t="s">
        <v>39</v>
      </c>
      <c r="L20" s="5" t="s">
        <v>75</v>
      </c>
      <c r="M20" s="5" t="s">
        <v>76</v>
      </c>
      <c r="N20" s="5"/>
      <c r="O20" s="10"/>
      <c r="P20" s="5" t="s">
        <v>77</v>
      </c>
      <c r="Q20" s="10"/>
      <c r="R20" s="5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4" t="s">
        <v>16</v>
      </c>
      <c r="B21" s="15"/>
      <c r="C21" s="15"/>
      <c r="D21" s="11" t="s">
        <v>67</v>
      </c>
      <c r="E21" s="11" t="s">
        <v>78</v>
      </c>
      <c r="F21" s="12">
        <v>83800.0</v>
      </c>
      <c r="G21" s="11">
        <v>1.0</v>
      </c>
      <c r="H21" s="13">
        <f t="shared" ref="H21:H31" si="2">F21*G21</f>
        <v>83800</v>
      </c>
      <c r="I21" s="14" t="s">
        <v>79</v>
      </c>
      <c r="J21" s="11" t="s">
        <v>80</v>
      </c>
      <c r="K21" s="11" t="s">
        <v>39</v>
      </c>
      <c r="L21" s="11" t="s">
        <v>81</v>
      </c>
      <c r="M21" s="11" t="s">
        <v>82</v>
      </c>
      <c r="N21" s="11" t="s">
        <v>83</v>
      </c>
      <c r="O21" s="15"/>
      <c r="P21" s="11" t="s">
        <v>84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4" t="s">
        <v>16</v>
      </c>
      <c r="B22" s="15"/>
      <c r="C22" s="15"/>
      <c r="D22" s="11" t="s">
        <v>67</v>
      </c>
      <c r="E22" s="11" t="s">
        <v>85</v>
      </c>
      <c r="F22" s="12">
        <v>111900.0</v>
      </c>
      <c r="G22" s="11">
        <v>1.0</v>
      </c>
      <c r="H22" s="13">
        <f t="shared" si="2"/>
        <v>111900</v>
      </c>
      <c r="I22" s="14" t="s">
        <v>86</v>
      </c>
      <c r="J22" s="11" t="s">
        <v>80</v>
      </c>
      <c r="K22" s="11" t="s">
        <v>39</v>
      </c>
      <c r="L22" s="11" t="s">
        <v>87</v>
      </c>
      <c r="M22" s="11" t="s">
        <v>88</v>
      </c>
      <c r="N22" s="11" t="s">
        <v>83</v>
      </c>
      <c r="O22" s="15"/>
      <c r="P22" s="11" t="s">
        <v>84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4" t="s">
        <v>16</v>
      </c>
      <c r="B23" s="15"/>
      <c r="C23" s="15"/>
      <c r="D23" s="11" t="s">
        <v>67</v>
      </c>
      <c r="E23" s="11" t="s">
        <v>89</v>
      </c>
      <c r="F23" s="12">
        <v>138800.0</v>
      </c>
      <c r="G23" s="11">
        <v>1.0</v>
      </c>
      <c r="H23" s="13">
        <f t="shared" si="2"/>
        <v>138800</v>
      </c>
      <c r="I23" s="14" t="s">
        <v>90</v>
      </c>
      <c r="J23" s="11" t="s">
        <v>80</v>
      </c>
      <c r="K23" s="11" t="s">
        <v>39</v>
      </c>
      <c r="L23" s="11" t="s">
        <v>91</v>
      </c>
      <c r="M23" s="11" t="s">
        <v>92</v>
      </c>
      <c r="N23" s="11" t="s">
        <v>83</v>
      </c>
      <c r="O23" s="15"/>
      <c r="P23" s="11" t="s">
        <v>93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3.0" customHeight="1">
      <c r="A24" s="32"/>
      <c r="B24" s="15"/>
      <c r="C24" s="15"/>
      <c r="D24" s="15"/>
      <c r="E24" s="15"/>
      <c r="F24" s="13"/>
      <c r="G24" s="15"/>
      <c r="H24" s="13">
        <f t="shared" si="2"/>
        <v>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4" t="s">
        <v>16</v>
      </c>
      <c r="B25" s="5">
        <v>6.0</v>
      </c>
      <c r="C25" s="5" t="s">
        <v>94</v>
      </c>
      <c r="D25" s="5" t="s">
        <v>95</v>
      </c>
      <c r="E25" s="5" t="s">
        <v>96</v>
      </c>
      <c r="F25" s="7">
        <v>9163.0</v>
      </c>
      <c r="G25" s="5">
        <v>1.0</v>
      </c>
      <c r="H25" s="8">
        <f t="shared" si="2"/>
        <v>9163</v>
      </c>
      <c r="I25" s="9" t="s">
        <v>97</v>
      </c>
      <c r="J25" s="10"/>
      <c r="K25" s="10"/>
      <c r="L25" s="5" t="s">
        <v>98</v>
      </c>
      <c r="M25" s="10"/>
      <c r="N25" s="10"/>
      <c r="O25" s="10"/>
      <c r="P25" s="5" t="s">
        <v>99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4" t="s">
        <v>16</v>
      </c>
      <c r="B26" s="5"/>
      <c r="C26" s="5"/>
      <c r="D26" s="5" t="s">
        <v>95</v>
      </c>
      <c r="E26" s="5" t="s">
        <v>100</v>
      </c>
      <c r="F26" s="7">
        <v>5808.0</v>
      </c>
      <c r="G26" s="5">
        <v>1.0</v>
      </c>
      <c r="H26" s="8">
        <f t="shared" si="2"/>
        <v>5808</v>
      </c>
      <c r="I26" s="9" t="s">
        <v>101</v>
      </c>
      <c r="J26" s="10"/>
      <c r="K26" s="10"/>
      <c r="L26" s="5" t="s">
        <v>102</v>
      </c>
      <c r="M26" s="10"/>
      <c r="N26" s="10"/>
      <c r="O26" s="10"/>
      <c r="P26" s="5" t="s">
        <v>103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4" t="s">
        <v>16</v>
      </c>
      <c r="B27" s="5"/>
      <c r="C27" s="5"/>
      <c r="D27" s="5" t="s">
        <v>95</v>
      </c>
      <c r="E27" s="5" t="s">
        <v>104</v>
      </c>
      <c r="F27" s="7">
        <v>4477.0</v>
      </c>
      <c r="G27" s="5">
        <v>1.0</v>
      </c>
      <c r="H27" s="8">
        <f t="shared" si="2"/>
        <v>4477</v>
      </c>
      <c r="I27" s="9" t="s">
        <v>105</v>
      </c>
      <c r="J27" s="10"/>
      <c r="K27" s="10"/>
      <c r="L27" s="5" t="s">
        <v>106</v>
      </c>
      <c r="M27" s="10"/>
      <c r="N27" s="10"/>
      <c r="O27" s="10"/>
      <c r="P27" s="5" t="s">
        <v>107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3.0" customHeight="1">
      <c r="A28" s="32"/>
      <c r="B28" s="15"/>
      <c r="C28" s="15"/>
      <c r="D28" s="15"/>
      <c r="E28" s="15"/>
      <c r="F28" s="13"/>
      <c r="G28" s="15"/>
      <c r="H28" s="13">
        <f t="shared" si="2"/>
        <v>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4" t="s">
        <v>16</v>
      </c>
      <c r="B29" s="5">
        <v>7.0</v>
      </c>
      <c r="C29" s="5" t="s">
        <v>108</v>
      </c>
      <c r="D29" s="5" t="s">
        <v>109</v>
      </c>
      <c r="E29" s="5" t="s">
        <v>110</v>
      </c>
      <c r="F29" s="7">
        <v>38570.0</v>
      </c>
      <c r="G29" s="5">
        <v>1.0</v>
      </c>
      <c r="H29" s="8">
        <f t="shared" si="2"/>
        <v>38570</v>
      </c>
      <c r="I29" s="9" t="s">
        <v>111</v>
      </c>
      <c r="J29" s="10"/>
      <c r="K29" s="5" t="s">
        <v>39</v>
      </c>
      <c r="L29" s="10"/>
      <c r="M29" s="10"/>
      <c r="N29" s="10"/>
      <c r="O29" s="10"/>
      <c r="P29" s="5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4" t="s">
        <v>16</v>
      </c>
      <c r="B30" s="10"/>
      <c r="C30" s="10"/>
      <c r="D30" s="5" t="s">
        <v>109</v>
      </c>
      <c r="E30" s="5" t="s">
        <v>112</v>
      </c>
      <c r="F30" s="7">
        <v>16960.0</v>
      </c>
      <c r="G30" s="5">
        <v>1.0</v>
      </c>
      <c r="H30" s="8">
        <f t="shared" si="2"/>
        <v>16960</v>
      </c>
      <c r="I30" s="9" t="s">
        <v>113</v>
      </c>
      <c r="J30" s="10"/>
      <c r="K30" s="10"/>
      <c r="L30" s="10"/>
      <c r="M30" s="10"/>
      <c r="N30" s="10"/>
      <c r="O30" s="10"/>
      <c r="P30" s="5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4" t="s">
        <v>16</v>
      </c>
      <c r="B31" s="10"/>
      <c r="C31" s="10"/>
      <c r="D31" s="5" t="s">
        <v>109</v>
      </c>
      <c r="E31" s="5" t="s">
        <v>114</v>
      </c>
      <c r="F31" s="7">
        <v>16960.0</v>
      </c>
      <c r="G31" s="5">
        <v>1.0</v>
      </c>
      <c r="H31" s="8">
        <f t="shared" si="2"/>
        <v>16960</v>
      </c>
      <c r="I31" s="9" t="s">
        <v>115</v>
      </c>
      <c r="J31" s="10"/>
      <c r="K31" s="10"/>
      <c r="L31" s="10"/>
      <c r="M31" s="10"/>
      <c r="N31" s="10"/>
      <c r="O31" s="10"/>
      <c r="P31" s="5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4" t="s">
        <v>16</v>
      </c>
      <c r="B32" s="10"/>
      <c r="C32" s="10"/>
      <c r="D32" s="33" t="s">
        <v>109</v>
      </c>
      <c r="E32" s="33" t="s">
        <v>116</v>
      </c>
      <c r="F32" s="34" t="s">
        <v>117</v>
      </c>
      <c r="G32" s="33">
        <v>1.0</v>
      </c>
      <c r="H32" s="34" t="s">
        <v>117</v>
      </c>
      <c r="I32" s="5"/>
      <c r="J32" s="10"/>
      <c r="K32" s="10"/>
      <c r="L32" s="10"/>
      <c r="M32" s="10"/>
      <c r="N32" s="10"/>
      <c r="O32" s="10"/>
      <c r="P32" s="5" t="s">
        <v>118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3.0" customHeight="1">
      <c r="A33" s="32"/>
      <c r="B33" s="15"/>
      <c r="C33" s="15"/>
      <c r="D33" s="15"/>
      <c r="E33" s="15"/>
      <c r="F33" s="13"/>
      <c r="G33" s="15"/>
      <c r="H33" s="13">
        <f t="shared" ref="H33:H41" si="3">F33*G33</f>
        <v>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4" t="s">
        <v>16</v>
      </c>
      <c r="B34" s="11">
        <v>8.0</v>
      </c>
      <c r="C34" s="11" t="s">
        <v>119</v>
      </c>
      <c r="D34" s="11" t="s">
        <v>120</v>
      </c>
      <c r="E34" s="11" t="s">
        <v>121</v>
      </c>
      <c r="F34" s="12">
        <v>86500.0</v>
      </c>
      <c r="G34" s="11">
        <v>1.0</v>
      </c>
      <c r="H34" s="13">
        <f t="shared" si="3"/>
        <v>86500</v>
      </c>
      <c r="I34" s="14" t="s">
        <v>122</v>
      </c>
      <c r="J34" s="15"/>
      <c r="K34" s="15"/>
      <c r="L34" s="11" t="s">
        <v>123</v>
      </c>
      <c r="M34" s="11" t="s">
        <v>124</v>
      </c>
      <c r="N34" s="14" t="s">
        <v>125</v>
      </c>
      <c r="O34" s="15"/>
      <c r="P34" s="11" t="s">
        <v>126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3.0" customHeight="1">
      <c r="A35" s="32"/>
      <c r="B35" s="15"/>
      <c r="C35" s="15"/>
      <c r="D35" s="15"/>
      <c r="E35" s="15"/>
      <c r="F35" s="13"/>
      <c r="G35" s="15"/>
      <c r="H35" s="13">
        <f t="shared" si="3"/>
        <v>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4"/>
      <c r="B36" s="11">
        <v>9.0</v>
      </c>
      <c r="C36" s="11" t="s">
        <v>127</v>
      </c>
      <c r="D36" s="11" t="s">
        <v>120</v>
      </c>
      <c r="E36" s="35" t="s">
        <v>128</v>
      </c>
      <c r="F36" s="12">
        <v>20328.0</v>
      </c>
      <c r="G36" s="11">
        <v>1.0</v>
      </c>
      <c r="H36" s="13">
        <f t="shared" si="3"/>
        <v>20328</v>
      </c>
      <c r="I36" s="14" t="s">
        <v>129</v>
      </c>
      <c r="J36" s="11" t="s">
        <v>130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3.0" customHeight="1">
      <c r="A37" s="32"/>
      <c r="B37" s="15"/>
      <c r="C37" s="15"/>
      <c r="D37" s="15"/>
      <c r="E37" s="15"/>
      <c r="F37" s="13"/>
      <c r="G37" s="15"/>
      <c r="H37" s="13">
        <f t="shared" si="3"/>
        <v>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6.5" customHeight="1">
      <c r="A38" s="4"/>
      <c r="B38" s="11">
        <v>10.0</v>
      </c>
      <c r="C38" s="11" t="s">
        <v>131</v>
      </c>
      <c r="D38" s="11" t="s">
        <v>131</v>
      </c>
      <c r="E38" s="11" t="s">
        <v>132</v>
      </c>
      <c r="F38" s="12">
        <v>7980.0</v>
      </c>
      <c r="G38" s="11">
        <v>1.0</v>
      </c>
      <c r="H38" s="13">
        <f t="shared" si="3"/>
        <v>7980</v>
      </c>
      <c r="I38" s="14" t="s">
        <v>133</v>
      </c>
      <c r="J38" s="11" t="s">
        <v>21</v>
      </c>
      <c r="K38" s="11" t="s">
        <v>134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3.0" customHeight="1">
      <c r="A39" s="32"/>
      <c r="B39" s="15"/>
      <c r="C39" s="15"/>
      <c r="D39" s="15"/>
      <c r="E39" s="15"/>
      <c r="F39" s="12"/>
      <c r="G39" s="15"/>
      <c r="H39" s="13">
        <f t="shared" si="3"/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4"/>
      <c r="B40" s="11">
        <v>11.0</v>
      </c>
      <c r="C40" s="11" t="s">
        <v>135</v>
      </c>
      <c r="D40" s="11" t="s">
        <v>136</v>
      </c>
      <c r="E40" s="35" t="s">
        <v>137</v>
      </c>
      <c r="F40" s="12">
        <v>6598.0</v>
      </c>
      <c r="G40" s="11">
        <v>3.0</v>
      </c>
      <c r="H40" s="13">
        <f t="shared" si="3"/>
        <v>19794</v>
      </c>
      <c r="I40" s="14" t="s">
        <v>138</v>
      </c>
      <c r="J40" s="11" t="s">
        <v>21</v>
      </c>
      <c r="K40" s="11" t="s">
        <v>139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3.0" customHeight="1">
      <c r="A41" s="32"/>
      <c r="B41" s="15"/>
      <c r="C41" s="15"/>
      <c r="D41" s="15"/>
      <c r="E41" s="15"/>
      <c r="F41" s="13"/>
      <c r="G41" s="15"/>
      <c r="H41" s="13">
        <f t="shared" si="3"/>
        <v>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4"/>
      <c r="B42" s="11">
        <v>12.0</v>
      </c>
      <c r="C42" s="11" t="s">
        <v>140</v>
      </c>
      <c r="D42" s="11" t="s">
        <v>141</v>
      </c>
      <c r="E42" s="11" t="s">
        <v>142</v>
      </c>
      <c r="F42" s="12">
        <v>189800.0</v>
      </c>
      <c r="G42" s="11">
        <v>1.0</v>
      </c>
      <c r="H42" s="12">
        <v>189800.0</v>
      </c>
      <c r="I42" s="14" t="s">
        <v>143</v>
      </c>
      <c r="J42" s="15"/>
      <c r="K42" s="15"/>
      <c r="L42" s="15"/>
      <c r="M42" s="15"/>
      <c r="N42" s="15"/>
      <c r="O42" s="15"/>
      <c r="P42" s="11" t="s">
        <v>144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3.0" customHeight="1">
      <c r="A43" s="32"/>
      <c r="B43" s="15"/>
      <c r="C43" s="15"/>
      <c r="D43" s="15"/>
      <c r="E43" s="15"/>
      <c r="F43" s="15"/>
      <c r="G43" s="15"/>
      <c r="H43" s="13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4"/>
      <c r="B44" s="11">
        <v>13.0</v>
      </c>
      <c r="C44" s="11" t="s">
        <v>145</v>
      </c>
      <c r="D44" s="15"/>
      <c r="E44" s="15"/>
      <c r="F44" s="15"/>
      <c r="G44" s="15"/>
      <c r="H44" s="12">
        <v>100000.0</v>
      </c>
      <c r="I44" s="15"/>
      <c r="J44" s="15"/>
      <c r="K44" s="15"/>
      <c r="L44" s="15"/>
      <c r="M44" s="15"/>
      <c r="N44" s="15"/>
      <c r="O44" s="15"/>
      <c r="P44" s="15"/>
      <c r="Q44" s="15"/>
    </row>
    <row r="45">
      <c r="A45" s="36"/>
      <c r="B45" s="37"/>
      <c r="C45" s="37"/>
      <c r="D45" s="37"/>
      <c r="E45" s="37"/>
      <c r="F45" s="37"/>
      <c r="G45" s="37"/>
      <c r="H45" s="38"/>
      <c r="I45" s="37"/>
      <c r="J45" s="37"/>
      <c r="K45" s="37"/>
      <c r="L45" s="37"/>
      <c r="M45" s="37"/>
      <c r="N45" s="37"/>
      <c r="O45" s="37"/>
      <c r="P45" s="37"/>
      <c r="Q45" s="37"/>
    </row>
    <row r="46">
      <c r="A46" s="2"/>
      <c r="E46" s="39"/>
      <c r="G46" s="16" t="s">
        <v>146</v>
      </c>
      <c r="H46" s="3">
        <f> sum(H2:H45)</f>
        <v>2155205</v>
      </c>
    </row>
    <row r="47">
      <c r="A47" s="2"/>
      <c r="H47" s="17"/>
    </row>
    <row r="48">
      <c r="A48" s="2"/>
      <c r="G48" s="16" t="s">
        <v>147</v>
      </c>
      <c r="H48" s="17">
        <v>420000.0</v>
      </c>
    </row>
    <row r="49">
      <c r="A49" s="40"/>
      <c r="B49" s="41"/>
      <c r="C49" s="41"/>
      <c r="D49" s="41"/>
      <c r="E49" s="41"/>
      <c r="F49" s="41"/>
      <c r="G49" s="41"/>
      <c r="H49" s="42"/>
      <c r="I49" s="41"/>
      <c r="J49" s="41"/>
      <c r="K49" s="41"/>
      <c r="L49" s="41"/>
      <c r="M49" s="41"/>
      <c r="N49" s="41"/>
      <c r="O49" s="41"/>
      <c r="P49" s="41"/>
      <c r="Q49" s="41"/>
    </row>
    <row r="50">
      <c r="A50" s="2"/>
      <c r="G50" s="39" t="s">
        <v>148</v>
      </c>
      <c r="H50" s="43">
        <f>H46 + H48</f>
        <v>2575205</v>
      </c>
    </row>
    <row r="51">
      <c r="A51" s="2"/>
      <c r="H51" s="17"/>
    </row>
    <row r="52">
      <c r="A52" s="2"/>
      <c r="H52" s="17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  <row r="1002">
      <c r="A1002" s="2"/>
    </row>
    <row r="1003">
      <c r="A1003" s="2"/>
    </row>
    <row r="1004">
      <c r="A1004" s="2"/>
    </row>
    <row r="1005">
      <c r="A1005" s="2"/>
    </row>
    <row r="1006">
      <c r="A1006" s="2"/>
    </row>
    <row r="1007">
      <c r="A1007" s="2"/>
    </row>
    <row r="1008">
      <c r="A1008" s="2"/>
    </row>
    <row r="1009">
      <c r="A1009" s="2"/>
    </row>
    <row r="1010">
      <c r="A1010" s="2"/>
    </row>
    <row r="1011">
      <c r="A1011" s="2"/>
    </row>
    <row r="1012">
      <c r="A1012" s="2"/>
    </row>
    <row r="1013">
      <c r="A1013" s="2"/>
    </row>
    <row r="1014">
      <c r="A1014" s="2"/>
    </row>
    <row r="1015">
      <c r="A1015" s="2"/>
    </row>
    <row r="1016">
      <c r="A1016" s="2"/>
    </row>
    <row r="1017">
      <c r="A1017" s="2"/>
    </row>
    <row r="1018">
      <c r="A1018" s="2"/>
    </row>
    <row r="1019">
      <c r="A1019" s="2"/>
    </row>
    <row r="1020">
      <c r="A1020" s="2"/>
    </row>
    <row r="1021">
      <c r="A1021" s="2"/>
    </row>
    <row r="1022">
      <c r="A1022" s="2"/>
    </row>
    <row r="1023">
      <c r="A1023" s="2"/>
    </row>
    <row r="1024">
      <c r="A1024" s="2"/>
    </row>
    <row r="1025">
      <c r="A1025" s="2"/>
    </row>
    <row r="1026">
      <c r="A1026" s="2"/>
    </row>
  </sheetData>
  <hyperlinks>
    <hyperlink r:id="rId1" ref="I3"/>
    <hyperlink r:id="rId2" ref="I4"/>
    <hyperlink r:id="rId3" ref="I5"/>
    <hyperlink r:id="rId4" ref="I7"/>
    <hyperlink r:id="rId5" ref="I8"/>
    <hyperlink r:id="rId6" ref="I9"/>
    <hyperlink r:id="rId7" ref="I11"/>
    <hyperlink r:id="rId8" ref="I13"/>
    <hyperlink r:id="rId9" ref="I14"/>
    <hyperlink r:id="rId10" ref="I15"/>
    <hyperlink r:id="rId11" ref="I16"/>
    <hyperlink r:id="rId12" ref="I17"/>
    <hyperlink r:id="rId13" ref="I19"/>
    <hyperlink r:id="rId14" ref="I20"/>
    <hyperlink r:id="rId15" ref="I21"/>
    <hyperlink r:id="rId16" ref="I22"/>
    <hyperlink r:id="rId17" ref="I23"/>
    <hyperlink r:id="rId18" ref="I25"/>
    <hyperlink r:id="rId19" ref="I26"/>
    <hyperlink r:id="rId20" ref="I27"/>
    <hyperlink r:id="rId21" ref="I29"/>
    <hyperlink r:id="rId22" ref="I30"/>
    <hyperlink r:id="rId23" ref="I31"/>
    <hyperlink r:id="rId24" ref="I34"/>
    <hyperlink r:id="rId25" ref="N34"/>
    <hyperlink r:id="rId26" ref="I36"/>
    <hyperlink r:id="rId27" ref="I38"/>
    <hyperlink r:id="rId28" ref="I40"/>
    <hyperlink r:id="rId29" ref="I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.0" customHeight="1">
      <c r="A2" s="2"/>
      <c r="H2" s="3">
        <f>F2*G2</f>
        <v>0</v>
      </c>
    </row>
    <row r="3">
      <c r="A3" s="44"/>
      <c r="B3" s="16">
        <v>1.0</v>
      </c>
      <c r="C3" s="16" t="s">
        <v>149</v>
      </c>
      <c r="E3" s="45"/>
      <c r="F3" s="17"/>
      <c r="H3" s="3"/>
    </row>
    <row r="4" ht="13.5" customHeight="1">
      <c r="A4" s="44"/>
      <c r="B4" s="16"/>
      <c r="C4" s="16"/>
      <c r="F4" s="17"/>
      <c r="H4" s="3"/>
    </row>
    <row r="5">
      <c r="A5" s="44"/>
      <c r="B5" s="16"/>
      <c r="C5" s="16"/>
      <c r="F5" s="17"/>
      <c r="H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>
      <c r="G2" s="3">
        <f t="shared" ref="G2:G35" si="1">E2*F2</f>
        <v>0</v>
      </c>
    </row>
    <row r="3">
      <c r="A3" s="11">
        <v>1.0</v>
      </c>
      <c r="B3" s="11" t="s">
        <v>17</v>
      </c>
      <c r="C3" s="11" t="s">
        <v>18</v>
      </c>
      <c r="D3" s="35" t="s">
        <v>150</v>
      </c>
      <c r="E3" s="12">
        <v>37880.0</v>
      </c>
      <c r="F3" s="11">
        <v>3.0</v>
      </c>
      <c r="G3" s="13">
        <f t="shared" si="1"/>
        <v>113640</v>
      </c>
      <c r="H3" s="14" t="s">
        <v>151</v>
      </c>
      <c r="I3" s="11" t="s">
        <v>21</v>
      </c>
      <c r="J3" s="11" t="s">
        <v>22</v>
      </c>
      <c r="K3" s="11" t="s">
        <v>23</v>
      </c>
      <c r="L3" s="11" t="s">
        <v>24</v>
      </c>
      <c r="M3" s="11" t="s">
        <v>25</v>
      </c>
      <c r="N3" s="15"/>
      <c r="O3" s="11" t="s">
        <v>152</v>
      </c>
      <c r="P3" s="15"/>
    </row>
    <row r="4">
      <c r="A4" s="11"/>
      <c r="B4" s="11"/>
      <c r="C4" s="11" t="s">
        <v>18</v>
      </c>
      <c r="D4" s="11" t="s">
        <v>153</v>
      </c>
      <c r="E4" s="12">
        <v>49980.0</v>
      </c>
      <c r="F4" s="11">
        <v>1.0</v>
      </c>
      <c r="G4" s="13">
        <f t="shared" si="1"/>
        <v>49980</v>
      </c>
      <c r="H4" s="14" t="s">
        <v>154</v>
      </c>
      <c r="I4" s="11" t="s">
        <v>21</v>
      </c>
      <c r="J4" s="11" t="s">
        <v>22</v>
      </c>
      <c r="K4" s="11" t="s">
        <v>28</v>
      </c>
      <c r="L4" s="11" t="s">
        <v>29</v>
      </c>
      <c r="M4" s="11" t="s">
        <v>25</v>
      </c>
      <c r="N4" s="15"/>
      <c r="O4" s="11" t="s">
        <v>155</v>
      </c>
      <c r="P4" s="15"/>
    </row>
    <row r="5">
      <c r="A5" s="11"/>
      <c r="B5" s="11"/>
      <c r="C5" s="11" t="s">
        <v>18</v>
      </c>
      <c r="D5" s="11" t="s">
        <v>156</v>
      </c>
      <c r="E5" s="12">
        <v>59980.0</v>
      </c>
      <c r="F5" s="11">
        <v>1.0</v>
      </c>
      <c r="G5" s="13">
        <f t="shared" si="1"/>
        <v>59980</v>
      </c>
      <c r="H5" s="14" t="s">
        <v>157</v>
      </c>
      <c r="I5" s="11" t="s">
        <v>21</v>
      </c>
      <c r="J5" s="11" t="s">
        <v>22</v>
      </c>
      <c r="K5" s="11" t="s">
        <v>32</v>
      </c>
      <c r="L5" s="11" t="s">
        <v>33</v>
      </c>
      <c r="M5" s="11" t="s">
        <v>25</v>
      </c>
      <c r="N5" s="15"/>
      <c r="O5" s="11" t="s">
        <v>158</v>
      </c>
      <c r="P5" s="15"/>
    </row>
    <row r="6">
      <c r="E6" s="3"/>
      <c r="G6" s="3">
        <f t="shared" si="1"/>
        <v>0</v>
      </c>
    </row>
    <row r="7">
      <c r="A7" s="11">
        <v>2.0</v>
      </c>
      <c r="B7" s="11" t="s">
        <v>35</v>
      </c>
      <c r="C7" s="11" t="s">
        <v>18</v>
      </c>
      <c r="D7" s="11" t="s">
        <v>36</v>
      </c>
      <c r="E7" s="12">
        <v>97878.0</v>
      </c>
      <c r="F7" s="11">
        <v>1.0</v>
      </c>
      <c r="G7" s="13">
        <f t="shared" si="1"/>
        <v>97878</v>
      </c>
      <c r="H7" s="14" t="s">
        <v>37</v>
      </c>
      <c r="I7" s="11" t="s">
        <v>38</v>
      </c>
      <c r="J7" s="11" t="s">
        <v>39</v>
      </c>
      <c r="K7" s="11" t="s">
        <v>39</v>
      </c>
      <c r="L7" s="11" t="s">
        <v>29</v>
      </c>
      <c r="M7" s="11" t="s">
        <v>39</v>
      </c>
      <c r="N7" s="15"/>
      <c r="O7" s="15"/>
      <c r="P7" s="15"/>
    </row>
    <row r="8">
      <c r="A8" s="15"/>
      <c r="B8" s="15"/>
      <c r="C8" s="15"/>
      <c r="D8" s="11" t="s">
        <v>40</v>
      </c>
      <c r="E8" s="12">
        <v>77058.0</v>
      </c>
      <c r="F8" s="11">
        <v>1.0</v>
      </c>
      <c r="G8" s="13">
        <f t="shared" si="1"/>
        <v>77058</v>
      </c>
      <c r="H8" s="14" t="s">
        <v>41</v>
      </c>
      <c r="I8" s="11" t="s">
        <v>21</v>
      </c>
      <c r="J8" s="11" t="s">
        <v>39</v>
      </c>
      <c r="K8" s="11" t="s">
        <v>39</v>
      </c>
      <c r="L8" s="11" t="s">
        <v>29</v>
      </c>
      <c r="M8" s="11" t="s">
        <v>39</v>
      </c>
      <c r="N8" s="15"/>
      <c r="O8" s="15"/>
      <c r="P8" s="15"/>
    </row>
    <row r="9">
      <c r="A9" s="15"/>
      <c r="B9" s="15"/>
      <c r="C9" s="15"/>
      <c r="D9" s="11" t="s">
        <v>42</v>
      </c>
      <c r="E9" s="12">
        <v>214929.0</v>
      </c>
      <c r="F9" s="11">
        <v>1.0</v>
      </c>
      <c r="G9" s="13">
        <f t="shared" si="1"/>
        <v>214929</v>
      </c>
      <c r="H9" s="14" t="s">
        <v>43</v>
      </c>
      <c r="I9" s="11" t="s">
        <v>21</v>
      </c>
      <c r="J9" s="11" t="s">
        <v>39</v>
      </c>
      <c r="K9" s="11" t="s">
        <v>39</v>
      </c>
      <c r="L9" s="11" t="s">
        <v>29</v>
      </c>
      <c r="M9" s="11" t="s">
        <v>39</v>
      </c>
      <c r="N9" s="15"/>
      <c r="O9" s="11" t="s">
        <v>44</v>
      </c>
      <c r="P9" s="15"/>
    </row>
    <row r="10">
      <c r="E10" s="3"/>
      <c r="G10" s="3">
        <f t="shared" si="1"/>
        <v>0</v>
      </c>
    </row>
    <row r="11">
      <c r="A11" s="16">
        <v>3.0</v>
      </c>
      <c r="B11" s="16" t="s">
        <v>45</v>
      </c>
      <c r="C11" s="16" t="s">
        <v>18</v>
      </c>
      <c r="D11" s="16" t="s">
        <v>46</v>
      </c>
      <c r="E11" s="17">
        <v>169400.0</v>
      </c>
      <c r="F11" s="16">
        <v>1.0</v>
      </c>
      <c r="G11" s="3">
        <f t="shared" si="1"/>
        <v>169400</v>
      </c>
      <c r="H11" s="18" t="s">
        <v>47</v>
      </c>
      <c r="I11" s="16" t="s">
        <v>48</v>
      </c>
      <c r="J11" s="16" t="s">
        <v>49</v>
      </c>
      <c r="K11" s="16" t="s">
        <v>39</v>
      </c>
      <c r="L11" s="16" t="s">
        <v>39</v>
      </c>
      <c r="M11" s="16" t="s">
        <v>39</v>
      </c>
    </row>
    <row r="12">
      <c r="E12" s="3"/>
      <c r="G12" s="3">
        <f t="shared" si="1"/>
        <v>0</v>
      </c>
    </row>
    <row r="13">
      <c r="A13" s="16">
        <v>4.0</v>
      </c>
      <c r="B13" s="16" t="s">
        <v>50</v>
      </c>
      <c r="C13" s="16" t="s">
        <v>18</v>
      </c>
      <c r="D13" s="16" t="s">
        <v>159</v>
      </c>
      <c r="E13" s="17">
        <v>9600.0</v>
      </c>
      <c r="F13" s="16">
        <v>5.0</v>
      </c>
      <c r="G13" s="3">
        <f t="shared" si="1"/>
        <v>48000</v>
      </c>
      <c r="H13" s="18" t="s">
        <v>160</v>
      </c>
      <c r="J13" s="16" t="s">
        <v>39</v>
      </c>
      <c r="K13" s="16" t="s">
        <v>39</v>
      </c>
      <c r="L13" s="16" t="s">
        <v>39</v>
      </c>
      <c r="M13" s="16" t="s">
        <v>39</v>
      </c>
      <c r="O13" s="16" t="s">
        <v>161</v>
      </c>
    </row>
    <row r="14">
      <c r="A14" s="16"/>
      <c r="B14" s="16"/>
      <c r="C14" s="16" t="s">
        <v>18</v>
      </c>
      <c r="D14" s="16" t="s">
        <v>162</v>
      </c>
      <c r="E14" s="17">
        <v>9700.0</v>
      </c>
      <c r="F14" s="16">
        <v>5.0</v>
      </c>
      <c r="G14" s="3">
        <f t="shared" si="1"/>
        <v>48500</v>
      </c>
      <c r="H14" s="18" t="s">
        <v>163</v>
      </c>
      <c r="J14" s="16" t="s">
        <v>39</v>
      </c>
      <c r="K14" s="16" t="s">
        <v>39</v>
      </c>
      <c r="L14" s="16" t="s">
        <v>39</v>
      </c>
      <c r="M14" s="16" t="s">
        <v>39</v>
      </c>
      <c r="O14" s="16" t="s">
        <v>164</v>
      </c>
    </row>
    <row r="15">
      <c r="C15" s="16" t="s">
        <v>18</v>
      </c>
      <c r="D15" s="16" t="s">
        <v>60</v>
      </c>
      <c r="E15" s="17">
        <v>11970.0</v>
      </c>
      <c r="F15" s="16">
        <v>3.0</v>
      </c>
      <c r="G15" s="3">
        <f t="shared" si="1"/>
        <v>35910</v>
      </c>
      <c r="H15" s="18" t="s">
        <v>61</v>
      </c>
      <c r="J15" s="16" t="s">
        <v>39</v>
      </c>
      <c r="K15" s="16" t="s">
        <v>39</v>
      </c>
      <c r="L15" s="16" t="s">
        <v>39</v>
      </c>
      <c r="M15" s="16" t="s">
        <v>39</v>
      </c>
      <c r="O15" s="16" t="s">
        <v>62</v>
      </c>
    </row>
    <row r="16">
      <c r="C16" s="16" t="s">
        <v>18</v>
      </c>
      <c r="D16" s="16" t="s">
        <v>63</v>
      </c>
      <c r="E16" s="17">
        <v>16000.0</v>
      </c>
      <c r="F16" s="16">
        <v>1.0</v>
      </c>
      <c r="G16" s="3">
        <f t="shared" si="1"/>
        <v>16000</v>
      </c>
      <c r="H16" s="18" t="s">
        <v>64</v>
      </c>
      <c r="J16" s="16" t="s">
        <v>39</v>
      </c>
      <c r="K16" s="16" t="s">
        <v>39</v>
      </c>
      <c r="L16" s="16" t="s">
        <v>39</v>
      </c>
      <c r="M16" s="16" t="s">
        <v>39</v>
      </c>
      <c r="O16" s="16" t="s">
        <v>65</v>
      </c>
    </row>
    <row r="17">
      <c r="E17" s="3"/>
      <c r="G17" s="3">
        <f t="shared" si="1"/>
        <v>0</v>
      </c>
    </row>
    <row r="18">
      <c r="A18" s="16">
        <v>5.0</v>
      </c>
      <c r="B18" s="16" t="s">
        <v>66</v>
      </c>
      <c r="C18" s="16" t="s">
        <v>67</v>
      </c>
      <c r="D18" s="46" t="s">
        <v>165</v>
      </c>
      <c r="E18" s="17">
        <v>62700.0</v>
      </c>
      <c r="F18" s="16">
        <v>2.0</v>
      </c>
      <c r="G18" s="3">
        <f t="shared" si="1"/>
        <v>125400</v>
      </c>
      <c r="H18" s="47" t="s">
        <v>166</v>
      </c>
      <c r="I18" s="16" t="s">
        <v>80</v>
      </c>
      <c r="J18" s="16" t="s">
        <v>39</v>
      </c>
      <c r="K18" s="16" t="s">
        <v>167</v>
      </c>
      <c r="L18" s="16" t="s">
        <v>168</v>
      </c>
      <c r="M18" s="16" t="s">
        <v>169</v>
      </c>
      <c r="O18" s="16" t="s">
        <v>84</v>
      </c>
    </row>
    <row r="19">
      <c r="A19" s="15"/>
      <c r="B19" s="15"/>
      <c r="C19" s="11" t="s">
        <v>67</v>
      </c>
      <c r="D19" s="11" t="s">
        <v>78</v>
      </c>
      <c r="E19" s="12">
        <v>83800.0</v>
      </c>
      <c r="F19" s="11">
        <v>1.0</v>
      </c>
      <c r="G19" s="13">
        <f t="shared" si="1"/>
        <v>83800</v>
      </c>
      <c r="H19" s="14" t="s">
        <v>79</v>
      </c>
      <c r="I19" s="11" t="s">
        <v>80</v>
      </c>
      <c r="J19" s="11" t="s">
        <v>39</v>
      </c>
      <c r="K19" s="11" t="s">
        <v>81</v>
      </c>
      <c r="L19" s="11" t="s">
        <v>82</v>
      </c>
      <c r="M19" s="11" t="s">
        <v>83</v>
      </c>
      <c r="N19" s="15"/>
      <c r="O19" s="11" t="s">
        <v>84</v>
      </c>
      <c r="P19" s="15"/>
    </row>
    <row r="20">
      <c r="A20" s="15"/>
      <c r="B20" s="15"/>
      <c r="C20" s="11" t="s">
        <v>67</v>
      </c>
      <c r="D20" s="11" t="s">
        <v>85</v>
      </c>
      <c r="E20" s="12">
        <v>111900.0</v>
      </c>
      <c r="F20" s="11">
        <v>1.0</v>
      </c>
      <c r="G20" s="13">
        <f t="shared" si="1"/>
        <v>111900</v>
      </c>
      <c r="H20" s="14" t="s">
        <v>86</v>
      </c>
      <c r="I20" s="11" t="s">
        <v>80</v>
      </c>
      <c r="J20" s="11" t="s">
        <v>39</v>
      </c>
      <c r="K20" s="11" t="s">
        <v>87</v>
      </c>
      <c r="L20" s="11" t="s">
        <v>88</v>
      </c>
      <c r="M20" s="11" t="s">
        <v>83</v>
      </c>
      <c r="N20" s="15"/>
      <c r="O20" s="11" t="s">
        <v>84</v>
      </c>
      <c r="P20" s="15"/>
    </row>
    <row r="21">
      <c r="A21" s="15"/>
      <c r="B21" s="15"/>
      <c r="C21" s="11" t="s">
        <v>67</v>
      </c>
      <c r="D21" s="11" t="s">
        <v>89</v>
      </c>
      <c r="E21" s="12">
        <v>138800.0</v>
      </c>
      <c r="F21" s="11">
        <v>1.0</v>
      </c>
      <c r="G21" s="13">
        <f t="shared" si="1"/>
        <v>138800</v>
      </c>
      <c r="H21" s="14" t="s">
        <v>90</v>
      </c>
      <c r="I21" s="11" t="s">
        <v>80</v>
      </c>
      <c r="J21" s="11" t="s">
        <v>39</v>
      </c>
      <c r="K21" s="11" t="s">
        <v>91</v>
      </c>
      <c r="L21" s="11" t="s">
        <v>92</v>
      </c>
      <c r="M21" s="11" t="s">
        <v>83</v>
      </c>
      <c r="N21" s="15"/>
      <c r="O21" s="11" t="s">
        <v>93</v>
      </c>
      <c r="P21" s="15"/>
    </row>
    <row r="22">
      <c r="A22" s="15"/>
      <c r="B22" s="15"/>
      <c r="C22" s="15"/>
      <c r="D22" s="15"/>
      <c r="E22" s="13"/>
      <c r="F22" s="15"/>
      <c r="G22" s="13">
        <f t="shared" si="1"/>
        <v>0</v>
      </c>
      <c r="H22" s="15"/>
      <c r="I22" s="15"/>
      <c r="J22" s="15"/>
      <c r="K22" s="15"/>
      <c r="L22" s="15"/>
      <c r="M22" s="15"/>
      <c r="N22" s="15"/>
      <c r="O22" s="15"/>
      <c r="P22" s="15"/>
    </row>
    <row r="23">
      <c r="A23" s="11">
        <v>6.0</v>
      </c>
      <c r="B23" s="11" t="s">
        <v>170</v>
      </c>
      <c r="C23" s="11" t="s">
        <v>171</v>
      </c>
      <c r="D23" s="11" t="s">
        <v>172</v>
      </c>
      <c r="E23" s="12">
        <v>13395.0</v>
      </c>
      <c r="F23" s="11">
        <v>5.0</v>
      </c>
      <c r="G23" s="13">
        <f t="shared" si="1"/>
        <v>66975</v>
      </c>
      <c r="H23" s="14" t="s">
        <v>173</v>
      </c>
      <c r="I23" s="15"/>
      <c r="J23" s="15"/>
      <c r="K23" s="15"/>
      <c r="L23" s="15"/>
      <c r="M23" s="15"/>
      <c r="N23" s="15"/>
      <c r="O23" s="15"/>
      <c r="P23" s="15"/>
    </row>
    <row r="24">
      <c r="A24" s="15"/>
      <c r="B24" s="15"/>
      <c r="C24" s="15"/>
      <c r="D24" s="15"/>
      <c r="E24" s="13"/>
      <c r="F24" s="15"/>
      <c r="G24" s="13">
        <f t="shared" si="1"/>
        <v>0</v>
      </c>
      <c r="H24" s="15"/>
      <c r="I24" s="15"/>
      <c r="J24" s="15"/>
      <c r="K24" s="15"/>
      <c r="L24" s="15"/>
      <c r="M24" s="15"/>
      <c r="N24" s="15"/>
      <c r="O24" s="15"/>
      <c r="P24" s="15"/>
    </row>
    <row r="25">
      <c r="A25" s="11">
        <v>7.0</v>
      </c>
      <c r="B25" s="11" t="s">
        <v>108</v>
      </c>
      <c r="C25" s="11" t="s">
        <v>109</v>
      </c>
      <c r="D25" s="11" t="s">
        <v>174</v>
      </c>
      <c r="E25" s="12">
        <v>28680.0</v>
      </c>
      <c r="F25" s="11">
        <v>4.0</v>
      </c>
      <c r="G25" s="13">
        <f t="shared" si="1"/>
        <v>114720</v>
      </c>
      <c r="H25" s="14" t="s">
        <v>175</v>
      </c>
      <c r="I25" s="15"/>
      <c r="J25" s="11" t="s">
        <v>39</v>
      </c>
      <c r="K25" s="15"/>
      <c r="L25" s="15"/>
      <c r="M25" s="15"/>
      <c r="N25" s="15"/>
      <c r="O25" s="11" t="s">
        <v>176</v>
      </c>
      <c r="P25" s="15"/>
    </row>
    <row r="26">
      <c r="A26" s="15"/>
      <c r="B26" s="15"/>
      <c r="C26" s="11" t="s">
        <v>109</v>
      </c>
      <c r="D26" s="11" t="s">
        <v>112</v>
      </c>
      <c r="E26" s="12">
        <v>16960.0</v>
      </c>
      <c r="F26" s="11">
        <v>6.0</v>
      </c>
      <c r="G26" s="13">
        <f t="shared" si="1"/>
        <v>101760</v>
      </c>
      <c r="H26" s="14" t="s">
        <v>113</v>
      </c>
      <c r="I26" s="15"/>
      <c r="J26" s="15"/>
      <c r="K26" s="15"/>
      <c r="L26" s="15"/>
      <c r="M26" s="15"/>
      <c r="N26" s="15"/>
      <c r="O26" s="11" t="s">
        <v>177</v>
      </c>
      <c r="P26" s="15"/>
    </row>
    <row r="27">
      <c r="A27" s="15"/>
      <c r="B27" s="15"/>
      <c r="C27" s="15"/>
      <c r="D27" s="15"/>
      <c r="E27" s="13"/>
      <c r="F27" s="15"/>
      <c r="G27" s="13">
        <f t="shared" si="1"/>
        <v>0</v>
      </c>
      <c r="H27" s="15"/>
      <c r="I27" s="15"/>
      <c r="J27" s="15"/>
      <c r="K27" s="15"/>
      <c r="L27" s="15"/>
      <c r="M27" s="15"/>
      <c r="N27" s="15"/>
      <c r="O27" s="15"/>
      <c r="P27" s="15"/>
    </row>
    <row r="28">
      <c r="A28" s="11">
        <v>8.0</v>
      </c>
      <c r="B28" s="11" t="s">
        <v>119</v>
      </c>
      <c r="C28" s="11" t="s">
        <v>120</v>
      </c>
      <c r="D28" s="11" t="s">
        <v>121</v>
      </c>
      <c r="E28" s="12">
        <v>86500.0</v>
      </c>
      <c r="F28" s="11">
        <v>1.0</v>
      </c>
      <c r="G28" s="13">
        <f t="shared" si="1"/>
        <v>86500</v>
      </c>
      <c r="H28" s="14" t="s">
        <v>122</v>
      </c>
      <c r="I28" s="15"/>
      <c r="J28" s="15"/>
      <c r="K28" s="11" t="s">
        <v>123</v>
      </c>
      <c r="L28" s="11" t="s">
        <v>124</v>
      </c>
      <c r="M28" s="14" t="s">
        <v>125</v>
      </c>
      <c r="N28" s="15"/>
      <c r="O28" s="11" t="s">
        <v>126</v>
      </c>
      <c r="P28" s="15"/>
    </row>
    <row r="29">
      <c r="A29" s="15"/>
      <c r="B29" s="15"/>
      <c r="C29" s="15"/>
      <c r="D29" s="15"/>
      <c r="E29" s="13"/>
      <c r="F29" s="15"/>
      <c r="G29" s="13">
        <f t="shared" si="1"/>
        <v>0</v>
      </c>
      <c r="H29" s="15"/>
      <c r="I29" s="15"/>
      <c r="J29" s="15"/>
      <c r="K29" s="15"/>
      <c r="L29" s="15"/>
      <c r="M29" s="15"/>
      <c r="N29" s="15"/>
      <c r="O29" s="15"/>
      <c r="P29" s="15"/>
    </row>
    <row r="30">
      <c r="A30" s="11">
        <v>9.0</v>
      </c>
      <c r="B30" s="11" t="s">
        <v>127</v>
      </c>
      <c r="C30" s="11" t="s">
        <v>120</v>
      </c>
      <c r="D30" s="35" t="s">
        <v>128</v>
      </c>
      <c r="E30" s="12">
        <v>20328.0</v>
      </c>
      <c r="F30" s="11">
        <v>1.0</v>
      </c>
      <c r="G30" s="13">
        <f t="shared" si="1"/>
        <v>20328</v>
      </c>
      <c r="H30" s="14" t="s">
        <v>129</v>
      </c>
      <c r="I30" s="11" t="s">
        <v>130</v>
      </c>
      <c r="J30" s="15"/>
      <c r="K30" s="15"/>
      <c r="L30" s="15"/>
      <c r="M30" s="15"/>
      <c r="N30" s="15"/>
      <c r="O30" s="15"/>
      <c r="P30" s="15"/>
    </row>
    <row r="31">
      <c r="A31" s="15"/>
      <c r="B31" s="15"/>
      <c r="C31" s="15"/>
      <c r="D31" s="15"/>
      <c r="E31" s="13"/>
      <c r="F31" s="15"/>
      <c r="G31" s="13">
        <f t="shared" si="1"/>
        <v>0</v>
      </c>
      <c r="H31" s="15"/>
      <c r="I31" s="15"/>
      <c r="J31" s="15"/>
      <c r="K31" s="15"/>
      <c r="L31" s="15"/>
      <c r="M31" s="15"/>
      <c r="N31" s="15"/>
      <c r="O31" s="15"/>
      <c r="P31" s="15"/>
    </row>
    <row r="32">
      <c r="A32" s="11">
        <v>10.0</v>
      </c>
      <c r="B32" s="11" t="s">
        <v>131</v>
      </c>
      <c r="C32" s="11" t="s">
        <v>131</v>
      </c>
      <c r="D32" s="11" t="s">
        <v>132</v>
      </c>
      <c r="E32" s="12">
        <v>7980.0</v>
      </c>
      <c r="F32" s="11">
        <v>1.0</v>
      </c>
      <c r="G32" s="13">
        <f t="shared" si="1"/>
        <v>7980</v>
      </c>
      <c r="H32" s="14" t="s">
        <v>133</v>
      </c>
      <c r="I32" s="11" t="s">
        <v>21</v>
      </c>
      <c r="J32" s="11" t="s">
        <v>134</v>
      </c>
      <c r="K32" s="15"/>
      <c r="L32" s="15"/>
      <c r="M32" s="15"/>
      <c r="N32" s="15"/>
      <c r="O32" s="15"/>
      <c r="P32" s="15"/>
    </row>
    <row r="33">
      <c r="A33" s="15"/>
      <c r="B33" s="15"/>
      <c r="C33" s="15"/>
      <c r="D33" s="15"/>
      <c r="E33" s="12"/>
      <c r="F33" s="15"/>
      <c r="G33" s="13">
        <f t="shared" si="1"/>
        <v>0</v>
      </c>
      <c r="H33" s="15"/>
      <c r="I33" s="15"/>
      <c r="J33" s="15"/>
      <c r="K33" s="15"/>
      <c r="L33" s="15"/>
      <c r="M33" s="15"/>
      <c r="N33" s="15"/>
      <c r="O33" s="15"/>
      <c r="P33" s="15"/>
    </row>
    <row r="34">
      <c r="A34" s="11">
        <v>11.0</v>
      </c>
      <c r="B34" s="11" t="s">
        <v>135</v>
      </c>
      <c r="C34" s="11" t="s">
        <v>136</v>
      </c>
      <c r="D34" s="35" t="s">
        <v>137</v>
      </c>
      <c r="E34" s="12">
        <v>6598.0</v>
      </c>
      <c r="F34" s="11">
        <v>3.0</v>
      </c>
      <c r="G34" s="13">
        <f t="shared" si="1"/>
        <v>19794</v>
      </c>
      <c r="H34" s="14" t="s">
        <v>138</v>
      </c>
      <c r="I34" s="11" t="s">
        <v>21</v>
      </c>
      <c r="J34" s="11" t="s">
        <v>139</v>
      </c>
      <c r="K34" s="15"/>
      <c r="L34" s="15"/>
      <c r="M34" s="15"/>
      <c r="N34" s="15"/>
      <c r="O34" s="15"/>
      <c r="P34" s="15"/>
    </row>
    <row r="35">
      <c r="A35" s="15"/>
      <c r="B35" s="15"/>
      <c r="C35" s="15"/>
      <c r="D35" s="15"/>
      <c r="E35" s="13"/>
      <c r="F35" s="15"/>
      <c r="G35" s="13">
        <f t="shared" si="1"/>
        <v>0</v>
      </c>
      <c r="H35" s="15"/>
      <c r="I35" s="15"/>
      <c r="J35" s="15"/>
      <c r="K35" s="15"/>
      <c r="L35" s="15"/>
      <c r="M35" s="15"/>
      <c r="N35" s="15"/>
      <c r="O35" s="15"/>
      <c r="P35" s="15"/>
    </row>
    <row r="36">
      <c r="A36" s="11">
        <v>12.0</v>
      </c>
      <c r="B36" s="11" t="s">
        <v>140</v>
      </c>
      <c r="C36" s="11" t="s">
        <v>141</v>
      </c>
      <c r="D36" s="11" t="s">
        <v>142</v>
      </c>
      <c r="E36" s="12">
        <v>189800.0</v>
      </c>
      <c r="F36" s="11">
        <v>1.0</v>
      </c>
      <c r="G36" s="12">
        <v>189800.0</v>
      </c>
      <c r="H36" s="14" t="s">
        <v>143</v>
      </c>
      <c r="I36" s="15"/>
      <c r="J36" s="15"/>
      <c r="K36" s="15"/>
      <c r="L36" s="15"/>
      <c r="M36" s="15"/>
      <c r="N36" s="15"/>
      <c r="O36" s="11" t="s">
        <v>144</v>
      </c>
      <c r="P36" s="15"/>
    </row>
    <row r="37">
      <c r="A37" s="15"/>
      <c r="B37" s="15"/>
      <c r="C37" s="15"/>
      <c r="D37" s="15"/>
      <c r="E37" s="15"/>
      <c r="F37" s="15"/>
      <c r="G37" s="13"/>
      <c r="H37" s="15"/>
      <c r="I37" s="15"/>
      <c r="J37" s="15"/>
      <c r="K37" s="15"/>
      <c r="L37" s="15"/>
      <c r="M37" s="15"/>
      <c r="N37" s="15"/>
      <c r="O37" s="15"/>
      <c r="P37" s="15"/>
    </row>
    <row r="38">
      <c r="A38" s="11">
        <v>13.0</v>
      </c>
      <c r="B38" s="11" t="s">
        <v>145</v>
      </c>
      <c r="C38" s="15"/>
      <c r="D38" s="15"/>
      <c r="E38" s="15"/>
      <c r="F38" s="15"/>
      <c r="G38" s="12">
        <v>100000.0</v>
      </c>
      <c r="H38" s="15"/>
      <c r="I38" s="15"/>
      <c r="J38" s="15"/>
      <c r="K38" s="15"/>
      <c r="L38" s="15"/>
      <c r="M38" s="15"/>
      <c r="N38" s="15"/>
      <c r="O38" s="15"/>
      <c r="P38" s="15"/>
    </row>
    <row r="39">
      <c r="A39" s="37"/>
      <c r="B39" s="37"/>
      <c r="C39" s="37"/>
      <c r="D39" s="37"/>
      <c r="E39" s="37"/>
      <c r="F39" s="37"/>
      <c r="G39" s="38"/>
      <c r="H39" s="37"/>
      <c r="I39" s="37"/>
      <c r="J39" s="37"/>
      <c r="K39" s="37"/>
      <c r="L39" s="37"/>
      <c r="M39" s="37"/>
      <c r="N39" s="37"/>
      <c r="O39" s="37"/>
      <c r="P39" s="37"/>
    </row>
    <row r="40">
      <c r="D40" s="39"/>
      <c r="F40" s="16" t="s">
        <v>146</v>
      </c>
      <c r="G40" s="3">
        <f> sum(G2:G39)</f>
        <v>2099032</v>
      </c>
    </row>
    <row r="41">
      <c r="G41" s="17"/>
    </row>
    <row r="42">
      <c r="F42" s="16" t="s">
        <v>147</v>
      </c>
      <c r="G42" s="17">
        <v>420000.0</v>
      </c>
    </row>
    <row r="43">
      <c r="A43" s="41"/>
      <c r="B43" s="41"/>
      <c r="C43" s="41"/>
      <c r="D43" s="41"/>
      <c r="E43" s="41"/>
      <c r="F43" s="41"/>
      <c r="G43" s="42"/>
      <c r="H43" s="41"/>
      <c r="I43" s="41"/>
      <c r="J43" s="41"/>
      <c r="K43" s="41"/>
      <c r="L43" s="41"/>
      <c r="M43" s="41"/>
      <c r="N43" s="41"/>
      <c r="O43" s="41"/>
      <c r="P43" s="41"/>
    </row>
    <row r="44">
      <c r="F44" s="39" t="s">
        <v>148</v>
      </c>
      <c r="G44" s="43">
        <f>G40 + G42</f>
        <v>2519032</v>
      </c>
    </row>
  </sheetData>
  <hyperlinks>
    <hyperlink r:id="rId1" ref="H3"/>
    <hyperlink r:id="rId2" ref="H4"/>
    <hyperlink r:id="rId3" ref="H5"/>
    <hyperlink r:id="rId4" ref="H7"/>
    <hyperlink r:id="rId5" ref="H8"/>
    <hyperlink r:id="rId6" ref="H9"/>
    <hyperlink r:id="rId7" ref="H11"/>
    <hyperlink r:id="rId8" ref="H13"/>
    <hyperlink r:id="rId9" ref="H14"/>
    <hyperlink r:id="rId10" ref="H15"/>
    <hyperlink r:id="rId11" ref="H16"/>
    <hyperlink r:id="rId12" ref="H18"/>
    <hyperlink r:id="rId13" ref="H19"/>
    <hyperlink r:id="rId14" ref="H20"/>
    <hyperlink r:id="rId15" ref="H21"/>
    <hyperlink r:id="rId16" ref="H23"/>
    <hyperlink r:id="rId17" ref="H25"/>
    <hyperlink r:id="rId18" ref="H26"/>
    <hyperlink r:id="rId19" ref="H28"/>
    <hyperlink r:id="rId20" ref="M28"/>
    <hyperlink r:id="rId21" ref="H30"/>
    <hyperlink r:id="rId22" ref="H32"/>
    <hyperlink r:id="rId23" ref="H34"/>
    <hyperlink r:id="rId24" ref="H36"/>
  </hyperlinks>
  <drawing r:id="rId25"/>
</worksheet>
</file>